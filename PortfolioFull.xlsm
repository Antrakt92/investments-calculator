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mon\Desktop\"/>
    </mc:Choice>
  </mc:AlternateContent>
  <xr:revisionPtr revIDLastSave="0" documentId="13_ncr:1_{2F70EEF9-AEE1-4B1A-A483-6278E8F41E39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heet1" sheetId="1" r:id="rId1"/>
    <sheet name="Sheet2" sheetId="3" r:id="rId2"/>
    <sheet name="Transactions" sheetId="7" r:id="rId3"/>
    <sheet name="Portfolio " sheetId="8" r:id="rId4"/>
    <sheet name="Tax" sheetId="9" r:id="rId5"/>
  </sheets>
  <functionGroups builtInGroupCount="19"/>
  <definedNames>
    <definedName name="_xlnm._FilterDatabase" localSheetId="3" hidden="1">'Portfolio '!$A$1:$G$16</definedName>
    <definedName name="_xlnm._FilterDatabase" localSheetId="2" hidden="1">Transactions!$A$1:$M$1</definedName>
    <definedName name="_xleta.SINGLE" hidden="1" xlm="1">#NAME?</definedName>
    <definedName name="_xlpm.a" hidden="1" xlm="1">#NAME?</definedName>
    <definedName name="_xlpm.acc" hidden="1" xlm="1">#NAME?</definedName>
    <definedName name="_xlpm.b" hidden="1" xlm="1">#NAME?</definedName>
    <definedName name="_xlpm.buy_dates" hidden="1" xlm="1">#NAME?</definedName>
    <definedName name="_xlpm.buy_prices" hidden="1" xlm="1">#NAME?</definedName>
    <definedName name="_xlpm.buy_quantities" hidden="1" xlm="1">#NAME?</definedName>
    <definedName name="_xlpm.buyCost" hidden="1" xlm="1">#NAME?</definedName>
    <definedName name="_xlpm.buyQty" hidden="1" xlm="1">#NAME?</definedName>
    <definedName name="_xlpm.buys" hidden="1" xlm="1">#NAME?</definedName>
    <definedName name="_xlpm.c" hidden="1" xlm="1">#NAME?</definedName>
    <definedName name="_xlpm.cumul" hidden="1" xlm="1">#NAME?</definedName>
    <definedName name="_xlpm.cumulative" hidden="1" xlm="1">#NAME?</definedName>
    <definedName name="_xlpm.cumulative_sold" hidden="1" xlm="1">#NAME?</definedName>
    <definedName name="_xlpm.first_buy" hidden="1" xlm="1">#NAME?</definedName>
    <definedName name="_xlpm.first_buy_quantity" hidden="1" xlm="1">#NAME?</definedName>
    <definedName name="_xlpm.first_buy_total" hidden="1" xlm="1">#NAME?</definedName>
    <definedName name="_xlpm.i" hidden="1" xlm="1">#NAME?</definedName>
    <definedName name="_xlpm.q" hidden="1" xlm="1">#NAME?</definedName>
    <definedName name="_xlpm.qty" hidden="1" xlm="1">#NAME?</definedName>
    <definedName name="_xlpm.r" hidden="1" xlm="1">#NAME?</definedName>
    <definedName name="_xlpm.remaining" hidden="1" xlm="1">#NAME?</definedName>
    <definedName name="_xlpm.remaining_quantity" hidden="1" xlm="1">#NAME?</definedName>
    <definedName name="_xlpm.second_buy_total" hidden="1" xlm="1">#NAME?</definedName>
    <definedName name="_xlpm.sold" hidden="1" xlm="1">#NAME?</definedName>
    <definedName name="_xlpm.soldQty" hidden="1" xlm="1">#NAME?</definedName>
    <definedName name="_xlpm.total_buy" hidden="1" xlm="1">#NAME?</definedName>
    <definedName name="_xlpm.total_cost" hidden="1" xlm="1">#NAME?</definedName>
    <definedName name="_xlpm.total_sold" hidden="1" xlm="1">#NAME?</definedName>
    <definedName name="_xlpm.totalCost" hidden="1" xlm="1">#NAME?</definedName>
    <definedName name="_xlpm.used" hidden="1" xlm="1">#NAME?</definedName>
    <definedName name="_xlpm.used_quantities" hidden="1" xlm="1">#NAME?</definedName>
    <definedName name="_xlpm.weighted_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" l="1"/>
  <c r="E8" i="1"/>
  <c r="E9" i="1"/>
  <c r="B15" i="3"/>
  <c r="D17" i="8" a="1"/>
  <c r="D17" i="8" s="1"/>
  <c r="D16" i="8" a="1"/>
  <c r="D16" i="8" s="1"/>
  <c r="D15" i="8" a="1"/>
  <c r="D15" i="8" s="1"/>
  <c r="D14" i="8" a="1"/>
  <c r="D14" i="8" s="1"/>
  <c r="J86" i="7"/>
  <c r="J93" i="7"/>
  <c r="J103" i="7"/>
  <c r="J111" i="7"/>
  <c r="H111" i="7" s="1"/>
  <c r="J112" i="7"/>
  <c r="L112" i="7" s="1"/>
  <c r="J113" i="7"/>
  <c r="J87" i="7"/>
  <c r="J94" i="7"/>
  <c r="J104" i="7"/>
  <c r="J114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121" i="7"/>
  <c r="H121" i="7" s="1"/>
  <c r="J120" i="7"/>
  <c r="H120" i="7" s="1"/>
  <c r="J119" i="7"/>
  <c r="H119" i="7" s="1"/>
  <c r="J118" i="7"/>
  <c r="H118" i="7" s="1"/>
  <c r="H117" i="7"/>
  <c r="J117" i="7"/>
  <c r="J116" i="7"/>
  <c r="H116" i="7" s="1"/>
  <c r="J115" i="7"/>
  <c r="H115" i="7" s="1"/>
  <c r="J110" i="7"/>
  <c r="H110" i="7" s="1"/>
  <c r="J109" i="7"/>
  <c r="H109" i="7" s="1"/>
  <c r="J108" i="7"/>
  <c r="H108" i="7" s="1"/>
  <c r="H107" i="7"/>
  <c r="J107" i="7"/>
  <c r="J106" i="7"/>
  <c r="H106" i="7" s="1"/>
  <c r="J105" i="7"/>
  <c r="H105" i="7" s="1"/>
  <c r="J102" i="7"/>
  <c r="H102" i="7" s="1"/>
  <c r="J101" i="7"/>
  <c r="H101" i="7" s="1"/>
  <c r="J100" i="7"/>
  <c r="H100" i="7" s="1"/>
  <c r="H99" i="7"/>
  <c r="J99" i="7"/>
  <c r="J98" i="7"/>
  <c r="L108" i="7" s="1"/>
  <c r="J97" i="7"/>
  <c r="H97" i="7" s="1"/>
  <c r="J96" i="7"/>
  <c r="H96" i="7" s="1"/>
  <c r="J95" i="7"/>
  <c r="H95" i="7" s="1"/>
  <c r="J92" i="7"/>
  <c r="H92" i="7" s="1"/>
  <c r="H91" i="7"/>
  <c r="J91" i="7"/>
  <c r="J90" i="7"/>
  <c r="L90" i="7" s="1"/>
  <c r="J89" i="7"/>
  <c r="H89" i="7" s="1"/>
  <c r="J88" i="7"/>
  <c r="H88" i="7" s="1"/>
  <c r="J85" i="7"/>
  <c r="H85" i="7" s="1"/>
  <c r="J84" i="7"/>
  <c r="H84" i="7" s="1"/>
  <c r="J83" i="7"/>
  <c r="H83" i="7" s="1"/>
  <c r="L84" i="7"/>
  <c r="L85" i="7"/>
  <c r="L80" i="7"/>
  <c r="L81" i="7"/>
  <c r="L91" i="7"/>
  <c r="L99" i="7"/>
  <c r="L102" i="7"/>
  <c r="L105" i="7"/>
  <c r="L109" i="7"/>
  <c r="L117" i="7"/>
  <c r="L119" i="7"/>
  <c r="L121" i="7"/>
  <c r="L86" i="7"/>
  <c r="L93" i="7"/>
  <c r="L103" i="7"/>
  <c r="L111" i="7"/>
  <c r="J82" i="7"/>
  <c r="H82" i="7" s="1"/>
  <c r="A2" i="9" a="1"/>
  <c r="A2" i="9" s="1"/>
  <c r="B21" i="3"/>
  <c r="B12" i="3"/>
  <c r="D15" i="3" s="1"/>
  <c r="J79" i="7"/>
  <c r="L2" i="7"/>
  <c r="J19" i="7"/>
  <c r="J22" i="7"/>
  <c r="J23" i="7"/>
  <c r="H23" i="7" s="1"/>
  <c r="J24" i="7"/>
  <c r="J26" i="7"/>
  <c r="H26" i="7" s="1"/>
  <c r="J27" i="7"/>
  <c r="H27" i="7" s="1"/>
  <c r="J28" i="7"/>
  <c r="L33" i="7" s="1"/>
  <c r="J29" i="7"/>
  <c r="J30" i="7"/>
  <c r="H30" i="7" s="1"/>
  <c r="J31" i="7"/>
  <c r="H31" i="7" s="1"/>
  <c r="J32" i="7"/>
  <c r="H32" i="7" s="1"/>
  <c r="J33" i="7"/>
  <c r="H33" i="7" s="1"/>
  <c r="J34" i="7"/>
  <c r="H34" i="7" s="1"/>
  <c r="J35" i="7"/>
  <c r="H35" i="7" s="1"/>
  <c r="J36" i="7"/>
  <c r="H36" i="7" s="1"/>
  <c r="J37" i="7"/>
  <c r="J38" i="7"/>
  <c r="J42" i="7"/>
  <c r="J43" i="7"/>
  <c r="H43" i="7" s="1"/>
  <c r="J44" i="7"/>
  <c r="H44" i="7" s="1"/>
  <c r="J45" i="7"/>
  <c r="H45" i="7" s="1"/>
  <c r="J46" i="7"/>
  <c r="J50" i="7"/>
  <c r="J51" i="7"/>
  <c r="H51" i="7" s="1"/>
  <c r="J54" i="7"/>
  <c r="J55" i="7"/>
  <c r="H55" i="7" s="1"/>
  <c r="J58" i="7"/>
  <c r="H58" i="7" s="1"/>
  <c r="J59" i="7"/>
  <c r="H59" i="7" s="1"/>
  <c r="J62" i="7"/>
  <c r="J63" i="7"/>
  <c r="H63" i="7" s="1"/>
  <c r="J66" i="7"/>
  <c r="L106" i="7" s="1"/>
  <c r="J67" i="7"/>
  <c r="H67" i="7" s="1"/>
  <c r="J71" i="7"/>
  <c r="H71" i="7" s="1"/>
  <c r="J72" i="7"/>
  <c r="H72" i="7" s="1"/>
  <c r="J76" i="7"/>
  <c r="L89" i="7" s="1"/>
  <c r="J77" i="7"/>
  <c r="H77" i="7" s="1"/>
  <c r="J78" i="7"/>
  <c r="J7" i="7"/>
  <c r="H7" i="7" s="1"/>
  <c r="J14" i="7"/>
  <c r="J15" i="7"/>
  <c r="J18" i="7"/>
  <c r="H18" i="7" s="1"/>
  <c r="H42" i="7"/>
  <c r="A2" i="8" a="1"/>
  <c r="C15" i="8" s="1"/>
  <c r="B16" i="3"/>
  <c r="D20" i="3"/>
  <c r="F3" i="1" a="1"/>
  <c r="F7" i="1" a="1"/>
  <c r="F6" i="1" a="1"/>
  <c r="F4" i="1" a="1"/>
  <c r="F5" i="1" a="1"/>
  <c r="F5" i="1" l="1"/>
  <c r="F3" i="1"/>
  <c r="F7" i="1"/>
  <c r="F6" i="1"/>
  <c r="F4" i="1"/>
  <c r="D16" i="3"/>
  <c r="E6" i="1"/>
  <c r="B18" i="3"/>
  <c r="E7" i="1"/>
  <c r="E3" i="1"/>
  <c r="E4" i="1"/>
  <c r="E5" i="1"/>
  <c r="L88" i="7"/>
  <c r="F15" i="8"/>
  <c r="L101" i="7"/>
  <c r="B16" i="8"/>
  <c r="L43" i="7"/>
  <c r="L120" i="7"/>
  <c r="L118" i="7"/>
  <c r="L100" i="7"/>
  <c r="C16" i="8"/>
  <c r="G16" i="8" s="1"/>
  <c r="H112" i="7"/>
  <c r="L116" i="7"/>
  <c r="L98" i="7"/>
  <c r="H90" i="7"/>
  <c r="H98" i="7"/>
  <c r="B10" i="8"/>
  <c r="F16" i="8"/>
  <c r="L115" i="7"/>
  <c r="L97" i="7"/>
  <c r="L83" i="7"/>
  <c r="B14" i="8"/>
  <c r="B17" i="8"/>
  <c r="L110" i="7"/>
  <c r="L96" i="7"/>
  <c r="L82" i="7"/>
  <c r="C14" i="8"/>
  <c r="G14" i="8" s="1"/>
  <c r="C17" i="8"/>
  <c r="G17" i="8" s="1"/>
  <c r="L95" i="7"/>
  <c r="L26" i="7"/>
  <c r="L92" i="7"/>
  <c r="F14" i="8"/>
  <c r="F17" i="8"/>
  <c r="L107" i="7"/>
  <c r="B15" i="8"/>
  <c r="L38" i="7"/>
  <c r="E14" i="8"/>
  <c r="E15" i="8"/>
  <c r="E17" i="8"/>
  <c r="H29" i="7"/>
  <c r="L29" i="7"/>
  <c r="L79" i="7"/>
  <c r="L30" i="7"/>
  <c r="L78" i="7"/>
  <c r="H54" i="7"/>
  <c r="H14" i="7"/>
  <c r="L50" i="7"/>
  <c r="L71" i="7"/>
  <c r="H24" i="7"/>
  <c r="H37" i="7"/>
  <c r="G15" i="8" s="1"/>
  <c r="L15" i="7"/>
  <c r="H79" i="7"/>
  <c r="H76" i="7"/>
  <c r="H28" i="7"/>
  <c r="H22" i="7"/>
  <c r="L66" i="7"/>
  <c r="L62" i="7"/>
  <c r="L76" i="7"/>
  <c r="L59" i="7"/>
  <c r="L32" i="7"/>
  <c r="H78" i="7"/>
  <c r="L63" i="7"/>
  <c r="L42" i="7"/>
  <c r="L27" i="7"/>
  <c r="L37" i="7"/>
  <c r="L24" i="7"/>
  <c r="H38" i="7"/>
  <c r="H66" i="7"/>
  <c r="H19" i="7"/>
  <c r="L58" i="7"/>
  <c r="L36" i="7"/>
  <c r="L23" i="7"/>
  <c r="H15" i="7"/>
  <c r="L55" i="7"/>
  <c r="L35" i="7"/>
  <c r="L22" i="7"/>
  <c r="H62" i="7"/>
  <c r="L54" i="7"/>
  <c r="L34" i="7"/>
  <c r="L19" i="7"/>
  <c r="L7" i="7"/>
  <c r="L51" i="7"/>
  <c r="L18" i="7"/>
  <c r="L72" i="7"/>
  <c r="L46" i="7"/>
  <c r="L31" i="7"/>
  <c r="L14" i="7"/>
  <c r="L45" i="7"/>
  <c r="H50" i="7"/>
  <c r="L67" i="7"/>
  <c r="L44" i="7"/>
  <c r="L28" i="7"/>
  <c r="H46" i="7"/>
  <c r="C12" i="8"/>
  <c r="C13" i="8"/>
  <c r="C11" i="8"/>
  <c r="C10" i="8"/>
  <c r="C8" i="8"/>
  <c r="C7" i="8"/>
  <c r="G7" i="8" s="1"/>
  <c r="C6" i="8"/>
  <c r="C9" i="8"/>
  <c r="C5" i="8"/>
  <c r="C4" i="8"/>
  <c r="B13" i="8"/>
  <c r="B11" i="8"/>
  <c r="B12" i="8"/>
  <c r="B8" i="8"/>
  <c r="B6" i="8"/>
  <c r="B4" i="8"/>
  <c r="B9" i="8"/>
  <c r="B7" i="8"/>
  <c r="B3" i="8"/>
  <c r="B5" i="8"/>
  <c r="F11" i="8"/>
  <c r="F12" i="8"/>
  <c r="F10" i="8"/>
  <c r="F13" i="8"/>
  <c r="F9" i="8"/>
  <c r="A2" i="8"/>
  <c r="C2" i="8" s="1"/>
  <c r="G2" i="8" s="1"/>
  <c r="F8" i="8"/>
  <c r="F7" i="8"/>
  <c r="F6" i="8"/>
  <c r="F5" i="8"/>
  <c r="F4" i="8"/>
  <c r="F3" i="8"/>
  <c r="E15" i="3"/>
  <c r="G6" i="1" a="1"/>
  <c r="G7" i="1" a="1"/>
  <c r="G7" i="1" l="1"/>
  <c r="G6" i="1"/>
  <c r="E16" i="8"/>
  <c r="G10" i="8"/>
  <c r="G6" i="8"/>
  <c r="G12" i="8"/>
  <c r="G8" i="8"/>
  <c r="G4" i="8"/>
  <c r="G5" i="8"/>
  <c r="G13" i="8"/>
  <c r="G9" i="8"/>
  <c r="G11" i="8"/>
  <c r="F2" i="8"/>
  <c r="B2" i="8"/>
  <c r="B19" i="3" l="1"/>
  <c r="B22" i="3" s="1"/>
  <c r="E16" i="3"/>
  <c r="D17" i="3" l="1"/>
  <c r="E17" i="3" s="1"/>
  <c r="B23" i="3" l="1"/>
  <c r="G3" i="1" a="1"/>
  <c r="G5" i="1" a="1"/>
  <c r="G4" i="1" a="1"/>
  <c r="G3" i="1" l="1"/>
  <c r="G5" i="1"/>
  <c r="G4" i="1"/>
  <c r="D13" i="8" a="1"/>
  <c r="D13" i="8" s="1"/>
  <c r="E13" i="8" s="1"/>
  <c r="D9" i="8" a="1"/>
  <c r="D9" i="8" s="1"/>
  <c r="E9" i="8" s="1"/>
  <c r="D8" i="8" a="1"/>
  <c r="D8" i="8" s="1"/>
  <c r="E8" i="8" s="1"/>
  <c r="D10" i="8" a="1"/>
  <c r="D10" i="8" s="1"/>
  <c r="E10" i="8" s="1"/>
  <c r="D7" i="8" a="1"/>
  <c r="D7" i="8" s="1"/>
  <c r="E7" i="8" s="1"/>
  <c r="D2" i="8" a="1"/>
  <c r="D2" i="8" s="1"/>
  <c r="E2" i="8" s="1"/>
  <c r="D4" i="8" a="1"/>
  <c r="D4" i="8" s="1"/>
  <c r="E4" i="8" s="1"/>
  <c r="D5" i="8" a="1"/>
  <c r="D5" i="8" s="1"/>
  <c r="E5" i="8" s="1"/>
  <c r="D11" i="8" a="1"/>
  <c r="D11" i="8" s="1"/>
  <c r="E11" i="8" s="1"/>
  <c r="D6" i="8" a="1"/>
  <c r="D6" i="8" s="1"/>
  <c r="E6" i="8" s="1"/>
  <c r="D12" i="8" a="1"/>
  <c r="D12" i="8" s="1"/>
  <c r="E12" i="8" s="1"/>
  <c r="D3" i="8" a="1"/>
  <c r="D3" i="8" s="1"/>
  <c r="C3" i="8" l="1"/>
  <c r="G3" i="8" l="1"/>
  <c r="J18" i="8" s="1"/>
  <c r="E3" i="8"/>
  <c r="J17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Dmytro Kalinovskyi</author>
  </authors>
  <commentList>
    <comment ref="B3" authorId="0" shapeId="0" xr:uid="{AC546ED1-6770-4142-B650-18640A9BB339}">
      <text>
        <r>
          <rPr>
            <b/>
            <sz val="9"/>
            <color indexed="81"/>
            <rFont val="Tahoma"/>
            <family val="2"/>
          </rPr>
          <t>USD Floating Rate Bond</t>
        </r>
      </text>
    </comment>
    <comment ref="B4" authorId="0" shapeId="0" xr:uid="{2931C700-3759-4BCD-9134-42B9621645BA}">
      <text>
        <r>
          <rPr>
            <b/>
            <sz val="9"/>
            <color indexed="81"/>
            <rFont val="Tahoma"/>
            <family val="2"/>
          </rPr>
          <t>Wordl Quality USD</t>
        </r>
      </text>
    </comment>
    <comment ref="B5" authorId="0" shapeId="0" xr:uid="{47CBE277-8209-494E-B865-7D33E7E57E5D}">
      <text>
        <r>
          <rPr>
            <b/>
            <sz val="9"/>
            <color indexed="81"/>
            <rFont val="Tahoma"/>
            <family val="2"/>
          </rPr>
          <t>World Information Technology USD</t>
        </r>
      </text>
    </comment>
    <comment ref="B6" authorId="0" shapeId="0" xr:uid="{62C2C4D1-E782-4D32-9EC7-4926E9C2DBB9}">
      <text>
        <r>
          <rPr>
            <b/>
            <sz val="9"/>
            <color indexed="81"/>
            <rFont val="Tahoma"/>
            <family val="2"/>
          </rPr>
          <t>USD Floating Rate Bond</t>
        </r>
      </text>
    </comment>
    <comment ref="B7" authorId="0" shapeId="0" xr:uid="{CDBC36E1-3C91-4695-96B3-226D89354ABB}">
      <text>
        <r>
          <rPr>
            <b/>
            <sz val="9"/>
            <color indexed="81"/>
            <rFont val="Tahoma"/>
            <family val="2"/>
          </rPr>
          <t>USD Floating Rate Bond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Dmytro Kalinovskyi</author>
  </authors>
  <commentList>
    <comment ref="A17" authorId="0" shapeId="0" xr:uid="{835408F0-13C2-47D5-BB5A-64165C59EA2F}">
      <text>
        <r>
          <rPr>
            <b/>
            <sz val="9"/>
            <color indexed="81"/>
            <rFont val="Tahoma"/>
            <family val="2"/>
          </rPr>
          <t>Целевой фонд крупных покупок</t>
        </r>
      </text>
    </comment>
    <comment ref="C18" authorId="0" shapeId="0" xr:uid="{32E7CC32-AAD5-4AF1-8724-35EAFDB9825B}">
      <text>
        <r>
          <rPr>
            <b/>
            <sz val="9"/>
            <color indexed="81"/>
            <rFont val="Tahoma"/>
            <family val="2"/>
          </rPr>
          <t>Целевой фонд крупных покупок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<sst xmlns="http://schemas.openxmlformats.org/spreadsheetml/2006/main" count="642" uniqueCount="100">
  <si>
    <t>XDWT</t>
  </si>
  <si>
    <t>Total</t>
  </si>
  <si>
    <t>Invested</t>
  </si>
  <si>
    <t>Actual %</t>
  </si>
  <si>
    <t>Invest amount</t>
  </si>
  <si>
    <t>Amount to Invest</t>
  </si>
  <si>
    <t>New % After Invest</t>
  </si>
  <si>
    <t>Ticker</t>
  </si>
  <si>
    <t>Price</t>
  </si>
  <si>
    <t>Desired %</t>
  </si>
  <si>
    <t>QDV4</t>
  </si>
  <si>
    <t>Trade Republic Maria</t>
  </si>
  <si>
    <t>Revolut Maria</t>
  </si>
  <si>
    <t>Bank of Ireland</t>
  </si>
  <si>
    <t>Trade Republic Saver</t>
  </si>
  <si>
    <t>Конверт</t>
  </si>
  <si>
    <t>Revolut Saver Dima</t>
  </si>
  <si>
    <t>Остаток</t>
  </si>
  <si>
    <t>Полная стоимость цели</t>
  </si>
  <si>
    <t>Через сколько месяцев нужно</t>
  </si>
  <si>
    <t>Ежемесячный платеж</t>
  </si>
  <si>
    <t>Целевой инвестрезерв</t>
  </si>
  <si>
    <t>Целевая подушка</t>
  </si>
  <si>
    <t>Фактическая подушка безопасности</t>
  </si>
  <si>
    <t>Фактический инвестрезерв</t>
  </si>
  <si>
    <t>Месячные расходы для подушки</t>
  </si>
  <si>
    <t>Бюджет на месячные траты</t>
  </si>
  <si>
    <t>Уже накоплено для крупной покупки</t>
  </si>
  <si>
    <t>Просадка фондового рынка</t>
  </si>
  <si>
    <t>Дополнительные инвестиции</t>
  </si>
  <si>
    <t>Итоговая сумма инвестиций</t>
  </si>
  <si>
    <t>Базовая сумма инвестиций</t>
  </si>
  <si>
    <t>Остаток инвестрезерва</t>
  </si>
  <si>
    <t>Остаток после инвестиций</t>
  </si>
  <si>
    <t>XAIX</t>
  </si>
  <si>
    <t>Name</t>
  </si>
  <si>
    <t>Date</t>
  </si>
  <si>
    <t>QQQS</t>
  </si>
  <si>
    <t>EUR</t>
  </si>
  <si>
    <t>QQQ3</t>
  </si>
  <si>
    <t>AAPL</t>
  </si>
  <si>
    <t>USD</t>
  </si>
  <si>
    <t>AHLA</t>
  </si>
  <si>
    <t>AMD</t>
  </si>
  <si>
    <t>INL</t>
  </si>
  <si>
    <t>99U</t>
  </si>
  <si>
    <t>FB2A</t>
  </si>
  <si>
    <t>J7Z</t>
  </si>
  <si>
    <t>QDVY</t>
  </si>
  <si>
    <t xml:space="preserve">Type </t>
  </si>
  <si>
    <t>Quantity</t>
  </si>
  <si>
    <t>Commission</t>
  </si>
  <si>
    <t>Asset Class</t>
  </si>
  <si>
    <t>Currency</t>
  </si>
  <si>
    <t>STOCK</t>
  </si>
  <si>
    <t>BUY</t>
  </si>
  <si>
    <t>SELL</t>
  </si>
  <si>
    <t>Total Quantity</t>
  </si>
  <si>
    <t>Average Price</t>
  </si>
  <si>
    <t>Current Value</t>
  </si>
  <si>
    <t>Realized P/L</t>
  </si>
  <si>
    <t>ETF</t>
  </si>
  <si>
    <t>IQQA</t>
  </si>
  <si>
    <t>Total Portfolio Value:</t>
  </si>
  <si>
    <t>Total Realized P/L:</t>
  </si>
  <si>
    <t>Corrected Quantity</t>
  </si>
  <si>
    <t>Year</t>
  </si>
  <si>
    <t>Shares Left</t>
  </si>
  <si>
    <t>Realized P/L (FIFO)</t>
  </si>
  <si>
    <t>Comment</t>
  </si>
  <si>
    <t>Trade Republic</t>
  </si>
  <si>
    <t>Lightyear</t>
  </si>
  <si>
    <t>DIVIDEND</t>
  </si>
  <si>
    <t>DEPOSIT</t>
  </si>
  <si>
    <t>INTEREST</t>
  </si>
  <si>
    <t>StockIncome</t>
  </si>
  <si>
    <t>StockTax</t>
  </si>
  <si>
    <t>ETFIncome</t>
  </si>
  <si>
    <t>ETFTax</t>
  </si>
  <si>
    <t>DivIncome</t>
  </si>
  <si>
    <t>DivTax</t>
  </si>
  <si>
    <t>DepIncome</t>
  </si>
  <si>
    <t>DepTax</t>
  </si>
  <si>
    <t>TotalIncome</t>
  </si>
  <si>
    <t>TotalTax</t>
  </si>
  <si>
    <t>SPYI</t>
  </si>
  <si>
    <t>XSR8</t>
  </si>
  <si>
    <t>10AF</t>
  </si>
  <si>
    <t>LYP6</t>
  </si>
  <si>
    <t>Ultrashort Bond EUR</t>
  </si>
  <si>
    <t>ERNX</t>
  </si>
  <si>
    <t xml:space="preserve">Просадка рынка </t>
  </si>
  <si>
    <t>Monobank Maria</t>
  </si>
  <si>
    <t>Кошелек Maria</t>
  </si>
  <si>
    <t>Кошелек Dima</t>
  </si>
  <si>
    <t>Монобанк Dima</t>
  </si>
  <si>
    <t>MSCI All Country World Investable</t>
  </si>
  <si>
    <t>MSCI World Information Technology UCITS ETF</t>
  </si>
  <si>
    <t>MSCI Emerging Markets UCITS ETF</t>
  </si>
  <si>
    <t>Core Stoxx Europe 600 UCITS ETF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</si>
</sst>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€&quot;#,##0.00;\-&quot;€&quot;#,##0.00"/>
    <numFmt numFmtId="164" formatCode="#,##0.0000"/>
    <numFmt numFmtId="165" formatCode="dd\-mmm\-yyyy"/>
    <numFmt numFmtId="166" formatCode="&quot;€&quot;#,##0.00"/>
    <numFmt numFmtId="167" formatCode="dd\-mm\-yyyy"/>
    <numFmt numFmtId="168" formatCode="[$€-83C]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8">
    <xf numFmtId="0" fontId="0" fillId="0" borderId="0" xfId="0"/>
    <xf numFmtId="9" fontId="0" fillId="3" borderId="1" xfId="0" applyNumberFormat="1" applyFill="1" applyBorder="1" applyAlignment="1">
      <alignment horizontal="center"/>
    </xf>
    <xf numFmtId="9" fontId="0" fillId="4" borderId="1" xfId="0" applyNumberFormat="1" applyFill="1" applyBorder="1" applyAlignment="1">
      <alignment horizontal="center"/>
    </xf>
    <xf numFmtId="0" fontId="0" fillId="0" borderId="1" xfId="0" quotePrefix="1" applyBorder="1" applyAlignment="1">
      <alignment horizontal="left"/>
    </xf>
    <xf numFmtId="0" fontId="0" fillId="0" borderId="1" xfId="0" applyBorder="1" applyAlignment="1">
      <alignment horizontal="left"/>
    </xf>
    <xf numFmtId="3" fontId="0" fillId="4" borderId="1" xfId="0" applyNumberFormat="1" applyFill="1" applyBorder="1" applyAlignment="1">
      <alignment horizontal="center"/>
    </xf>
    <xf numFmtId="3" fontId="0" fillId="3" borderId="1" xfId="0" applyNumberForma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9" fontId="0" fillId="3" borderId="0" xfId="0" applyNumberFormat="1" applyFill="1" applyAlignment="1">
      <alignment horizontal="center"/>
    </xf>
    <xf numFmtId="0" fontId="0" fillId="0" borderId="0" xfId="0" applyAlignment="1">
      <alignment vertical="center"/>
    </xf>
    <xf numFmtId="0" fontId="1" fillId="3" borderId="1" xfId="0" applyFont="1" applyFill="1" applyBorder="1" applyAlignment="1">
      <alignment vertical="center"/>
    </xf>
    <xf numFmtId="3" fontId="1" fillId="3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3" fontId="1" fillId="2" borderId="1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3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3" fontId="0" fillId="3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0" xfId="0" applyFill="1" applyAlignment="1">
      <alignment horizontal="center"/>
    </xf>
    <xf numFmtId="3" fontId="0" fillId="0" borderId="3" xfId="0" applyNumberFormat="1" applyBorder="1" applyAlignment="1">
      <alignment horizontal="center" vertical="center"/>
    </xf>
    <xf numFmtId="3" fontId="0" fillId="0" borderId="3" xfId="0" applyNumberForma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/>
    <xf numFmtId="166" fontId="0" fillId="0" borderId="0" xfId="0" applyNumberFormat="1"/>
    <xf numFmtId="0" fontId="0" fillId="0" borderId="0" xfId="0" applyAlignment="1">
      <alignment horizontal="center"/>
    </xf>
    <xf numFmtId="4" fontId="0" fillId="0" borderId="0" xfId="0" applyNumberFormat="1" applyAlignment="1">
      <alignment horizont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/>
    </xf>
    <xf numFmtId="7" fontId="0" fillId="0" borderId="1" xfId="0" applyNumberFormat="1" applyBorder="1" applyAlignment="1">
      <alignment horizontal="center"/>
    </xf>
    <xf numFmtId="167" fontId="0" fillId="0" borderId="1" xfId="0" applyNumberFormat="1" applyBorder="1"/>
    <xf numFmtId="166" fontId="0" fillId="0" borderId="1" xfId="0" applyNumberFormat="1" applyBorder="1"/>
    <xf numFmtId="167" fontId="0" fillId="0" borderId="1" xfId="0" quotePrefix="1" applyNumberFormat="1" applyBorder="1"/>
    <xf numFmtId="0" fontId="0" fillId="0" borderId="1" xfId="0" quotePrefix="1" applyBorder="1"/>
    <xf numFmtId="164" fontId="0" fillId="0" borderId="1" xfId="0" applyNumberFormat="1" applyBorder="1"/>
    <xf numFmtId="168" fontId="0" fillId="0" borderId="1" xfId="0" applyNumberFormat="1" applyBorder="1"/>
    <xf numFmtId="49" fontId="0" fillId="0" borderId="1" xfId="0" applyNumberForma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1" fillId="0" borderId="2" xfId="0" applyFont="1" applyBorder="1" applyAlignment="1">
      <alignment horizontal="right" indent="1"/>
    </xf>
    <xf numFmtId="165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4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4" fontId="0" fillId="3" borderId="1" xfId="0" applyNumberFormat="1" applyFill="1" applyBorder="1" applyAlignment="1">
      <alignment horizontal="center"/>
    </xf>
    <xf numFmtId="0" fontId="1" fillId="0" borderId="4" xfId="0" applyFont="1" applyBorder="1" applyAlignment="1">
      <alignment horizontal="left" vertical="center" wrapText="1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 indent="1"/>
    </xf>
    <xf numFmtId="0" fontId="1" fillId="0" borderId="5" xfId="0" applyFont="1" applyBorder="1" applyAlignment="1">
      <alignment horizontal="right" inden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8EE02"/>
      <color rgb="FFD6E6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19050</xdr:rowOff>
        </xdr:from>
        <xdr:to>
          <xdr:col>14</xdr:col>
          <xdr:colOff>571500</xdr:colOff>
          <xdr:row>0</xdr:row>
          <xdr:rowOff>419100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Summaraze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542925</xdr:colOff>
          <xdr:row>0</xdr:row>
          <xdr:rowOff>28575</xdr:rowOff>
        </xdr:from>
        <xdr:to>
          <xdr:col>6</xdr:col>
          <xdr:colOff>581025</xdr:colOff>
          <xdr:row>1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Summaraze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4"/>
  <sheetViews>
    <sheetView showGridLines="0" tabSelected="1" zoomScale="205" zoomScaleNormal="205" workbookViewId="0">
      <selection activeCell="H8" sqref="H8"/>
    </sheetView>
  </sheetViews>
  <sheetFormatPr defaultRowHeight="15" x14ac:dyDescent="0.25"/>
  <cols>
    <col min="1" max="1" width="43.5703125" bestFit="1" customWidth="1"/>
    <col min="3" max="3" width="10.28515625" bestFit="1" customWidth="1"/>
    <col min="4" max="4" width="8.42578125" bestFit="1" customWidth="1"/>
    <col min="6" max="6" width="9.140625" customWidth="1"/>
    <col min="9" max="9" width="11.28515625" customWidth="1"/>
  </cols>
  <sheetData>
    <row r="1" spans="1:7" x14ac:dyDescent="0.25">
      <c r="A1" s="56" t="s">
        <v>35</v>
      </c>
      <c r="B1" s="57" t="s">
        <v>7</v>
      </c>
      <c r="C1" s="57" t="s">
        <v>9</v>
      </c>
      <c r="D1" s="57" t="s">
        <v>2</v>
      </c>
      <c r="E1" s="56" t="s">
        <v>3</v>
      </c>
      <c r="F1" s="57" t="s">
        <v>5</v>
      </c>
      <c r="G1" s="57" t="s">
        <v>6</v>
      </c>
    </row>
    <row r="2" spans="1:7" x14ac:dyDescent="0.25">
      <c r="A2" s="56"/>
      <c r="B2" s="57"/>
      <c r="C2" s="57"/>
      <c r="D2" s="57"/>
      <c r="E2" s="56"/>
      <c r="F2" s="57"/>
      <c r="G2" s="57"/>
    </row>
    <row r="3" spans="1:7" x14ac:dyDescent="0.25">
      <c r="A3" s="23" t="s">
        <v>89</v>
      </c>
      <c r="B3" s="4" t="s">
        <v>90</v>
      </c>
      <c r="C3" s="1">
        <v>0.4</v>
      </c>
      <c r="D3" s="7">
        <v>907</v>
      </c>
      <c r="E3" s="1">
        <f>IF(D3=0,0,D3/$E$8)</f>
        <v>0.40221729490022173</v>
      </c>
      <c r="F3" s="5" cm="1">
        <f t="array" aca="1" ref="F3" ca="1">CalculateInvestment(C3, D3, $E$8, $E$9, $C$3:$C$7)</f>
        <v>33</v>
      </c>
      <c r="G3" s="2" cm="1">
        <f t="array" aca="1" ref="G3" ca="1">CalculateNewPercentage(D3, F3, $E$8, $E$9)</f>
        <v>0.39915074309978771</v>
      </c>
    </row>
    <row r="4" spans="1:7" x14ac:dyDescent="0.25">
      <c r="A4" s="52" t="s">
        <v>96</v>
      </c>
      <c r="B4" s="3" t="s">
        <v>85</v>
      </c>
      <c r="C4" s="1">
        <v>0.35</v>
      </c>
      <c r="D4" s="7">
        <v>780</v>
      </c>
      <c r="E4" s="1">
        <f>IF(D4=0,0,D4/$E$8)</f>
        <v>0.34589800443458979</v>
      </c>
      <c r="F4" s="5" cm="1">
        <f t="array" aca="1" ref="F4" ca="1">CalculateInvestment(C4, D4, $E$8, $E$9, $C$3:$C$7)</f>
        <v>42</v>
      </c>
      <c r="G4" s="2" cm="1">
        <f t="array" aca="1" ref="G4" ca="1">CalculateNewPercentage(D4, F4, $E$8, $E$9)</f>
        <v>0.34904458598726112</v>
      </c>
    </row>
    <row r="5" spans="1:7" x14ac:dyDescent="0.25">
      <c r="A5" s="23" t="s">
        <v>97</v>
      </c>
      <c r="B5" s="4" t="s">
        <v>0</v>
      </c>
      <c r="C5" s="1">
        <v>0.1</v>
      </c>
      <c r="D5" s="7">
        <v>239</v>
      </c>
      <c r="E5" s="1">
        <f>IF(D5=0,0,D5/$E$8)</f>
        <v>0.10598669623059867</v>
      </c>
      <c r="F5" s="5" cm="1">
        <f t="array" aca="1" ref="F5" ca="1">CalculateInvestment(C5, D5, $E$8, $E$9, $C$3:$C$7)</f>
        <v>1</v>
      </c>
      <c r="G5" s="2" cm="1">
        <f t="array" aca="1" ref="G5" ca="1">CalculateNewPercentage(D5, F5, $E$8, $E$9)</f>
        <v>0.10191082802547771</v>
      </c>
    </row>
    <row r="6" spans="1:7" x14ac:dyDescent="0.25">
      <c r="A6" s="23" t="s">
        <v>98</v>
      </c>
      <c r="B6" s="4" t="s">
        <v>87</v>
      </c>
      <c r="C6" s="1">
        <v>0.08</v>
      </c>
      <c r="D6" s="7">
        <v>177</v>
      </c>
      <c r="E6" s="1">
        <f>IF(D6=0,0,D6/$E$8)</f>
        <v>7.8492239467849223E-2</v>
      </c>
      <c r="F6" s="5" cm="1">
        <f t="array" aca="1" ref="F6" ca="1">CalculateInvestment(C6, D6, $E$8, $E$9, $C$3:$C$7)</f>
        <v>11</v>
      </c>
      <c r="G6" s="2" cm="1">
        <f t="array" aca="1" ref="G6" ca="1">CalculateNewPercentage(D6, F6, $E$8, $E$9)</f>
        <v>7.9830148619957533E-2</v>
      </c>
    </row>
    <row r="7" spans="1:7" x14ac:dyDescent="0.25">
      <c r="A7" s="23" t="s">
        <v>99</v>
      </c>
      <c r="B7" s="4" t="s">
        <v>88</v>
      </c>
      <c r="C7" s="1">
        <v>7.0000000000000007E-2</v>
      </c>
      <c r="D7" s="7">
        <v>152</v>
      </c>
      <c r="E7" s="1">
        <f>IF(D7=0,0,D7/$E$8)</f>
        <v>6.7405764966740583E-2</v>
      </c>
      <c r="F7" s="5" cm="1">
        <f t="array" aca="1" ref="F7" ca="1">CalculateInvestment(C7, D7, $E$8, $E$9, $C$3:$C$7)</f>
        <v>13</v>
      </c>
      <c r="G7" s="2" cm="1">
        <f t="array" aca="1" ref="G7" ca="1">CalculateNewPercentage(D7, F7, $E$8, $E$9)</f>
        <v>7.0063694267515922E-2</v>
      </c>
    </row>
    <row r="8" spans="1:7" x14ac:dyDescent="0.25">
      <c r="A8" s="53" t="s">
        <v>4</v>
      </c>
      <c r="B8" s="7">
        <v>100</v>
      </c>
      <c r="C8" s="8">
        <f>SUM(C3:C7)</f>
        <v>1</v>
      </c>
      <c r="D8" s="43" t="s">
        <v>1</v>
      </c>
      <c r="E8" s="6">
        <f>SUM(D3:D7)</f>
        <v>2255</v>
      </c>
    </row>
    <row r="9" spans="1:7" x14ac:dyDescent="0.25">
      <c r="A9" s="53" t="s">
        <v>91</v>
      </c>
      <c r="B9" s="20">
        <v>0</v>
      </c>
      <c r="C9" s="54" t="s">
        <v>4</v>
      </c>
      <c r="D9" s="55"/>
      <c r="E9" s="6">
        <f>IF(B9="","",
  IF(B9&lt;0, B8,
  IF(B9&lt;=10, B8*(1+B9*0.025),
  IF(B9&lt;=20, B8*(1.25+(B9-10)*0.05),
  IF(B9&lt;=30, B8*(1.75+(B9-20)*0.025),
  IF(B9&lt;=40, B8*(2+(B9-30)*0.075),
  IF(B9&lt;=50, B8*(2.75+(B9-40)*0.075),
  IF(B9&lt;=60, B8*(3.5+(B9-50)*0.05),
  MIN(B8*4, B8*(4+(B9-60)*0))))))))))</f>
        <v>100</v>
      </c>
    </row>
    <row r="14" spans="1:7" ht="15" customHeight="1" x14ac:dyDescent="0.25"/>
  </sheetData>
  <mergeCells count="8">
    <mergeCell ref="C9:D9"/>
    <mergeCell ref="A1:A2"/>
    <mergeCell ref="G1:G2"/>
    <mergeCell ref="E1:E2"/>
    <mergeCell ref="B1:B2"/>
    <mergeCell ref="C1:C2"/>
    <mergeCell ref="D1:D2"/>
    <mergeCell ref="F1:F2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66AE1-5C55-4B7A-8E71-A5891CC0A8AA}">
  <sheetPr codeName="Sheet2"/>
  <dimension ref="A1:P51"/>
  <sheetViews>
    <sheetView showGridLines="0" zoomScale="220" zoomScaleNormal="220" workbookViewId="0">
      <selection activeCell="B10" sqref="B1:B10"/>
    </sheetView>
  </sheetViews>
  <sheetFormatPr defaultRowHeight="15" x14ac:dyDescent="0.25"/>
  <cols>
    <col min="1" max="1" width="35.140625" bestFit="1" customWidth="1"/>
    <col min="2" max="2" width="13.42578125" bestFit="1" customWidth="1"/>
    <col min="3" max="3" width="34.5703125" bestFit="1" customWidth="1"/>
    <col min="4" max="4" width="10.28515625" bestFit="1" customWidth="1"/>
    <col min="5" max="5" width="20.42578125" customWidth="1"/>
  </cols>
  <sheetData>
    <row r="1" spans="1:5" s="9" customFormat="1" ht="15" customHeight="1" x14ac:dyDescent="0.25">
      <c r="A1" s="14" t="s">
        <v>14</v>
      </c>
      <c r="B1" s="17">
        <v>33494</v>
      </c>
    </row>
    <row r="2" spans="1:5" s="9" customFormat="1" ht="15" customHeight="1" x14ac:dyDescent="0.25">
      <c r="A2" s="14" t="s">
        <v>11</v>
      </c>
      <c r="B2" s="17">
        <v>5872</v>
      </c>
    </row>
    <row r="3" spans="1:5" s="9" customFormat="1" ht="15" customHeight="1" x14ac:dyDescent="0.25">
      <c r="A3" s="14" t="s">
        <v>92</v>
      </c>
      <c r="B3" s="17">
        <v>452</v>
      </c>
    </row>
    <row r="4" spans="1:5" s="9" customFormat="1" ht="15" customHeight="1" x14ac:dyDescent="0.25">
      <c r="A4" s="14" t="s">
        <v>12</v>
      </c>
      <c r="B4" s="17">
        <v>2001</v>
      </c>
    </row>
    <row r="5" spans="1:5" s="9" customFormat="1" ht="15" customHeight="1" x14ac:dyDescent="0.25">
      <c r="A5" s="14" t="s">
        <v>93</v>
      </c>
      <c r="B5" s="17">
        <v>370</v>
      </c>
    </row>
    <row r="6" spans="1:5" s="9" customFormat="1" ht="15" customHeight="1" x14ac:dyDescent="0.25">
      <c r="A6" s="14" t="s">
        <v>13</v>
      </c>
      <c r="B6" s="17">
        <v>2004</v>
      </c>
    </row>
    <row r="7" spans="1:5" s="9" customFormat="1" ht="15" customHeight="1" x14ac:dyDescent="0.25">
      <c r="A7" s="14" t="s">
        <v>16</v>
      </c>
      <c r="B7" s="17">
        <v>1900</v>
      </c>
    </row>
    <row r="8" spans="1:5" s="9" customFormat="1" ht="15" customHeight="1" x14ac:dyDescent="0.25">
      <c r="A8" s="14" t="s">
        <v>94</v>
      </c>
      <c r="B8" s="17">
        <v>121</v>
      </c>
    </row>
    <row r="9" spans="1:5" s="9" customFormat="1" ht="15" customHeight="1" x14ac:dyDescent="0.25">
      <c r="A9" s="14" t="s">
        <v>95</v>
      </c>
      <c r="B9" s="17">
        <v>32</v>
      </c>
    </row>
    <row r="10" spans="1:5" s="9" customFormat="1" ht="15" customHeight="1" x14ac:dyDescent="0.25">
      <c r="A10" s="14" t="s">
        <v>15</v>
      </c>
      <c r="B10" s="17">
        <v>1450</v>
      </c>
    </row>
    <row r="11" spans="1:5" s="9" customFormat="1" ht="15" customHeight="1" x14ac:dyDescent="0.25">
      <c r="A11" s="14"/>
      <c r="B11" s="15"/>
    </row>
    <row r="12" spans="1:5" s="9" customFormat="1" ht="15" customHeight="1" x14ac:dyDescent="0.25">
      <c r="A12" s="10" t="s">
        <v>1</v>
      </c>
      <c r="B12" s="11">
        <f>SUM(B1:B11)</f>
        <v>47696</v>
      </c>
    </row>
    <row r="13" spans="1:5" s="9" customFormat="1" ht="15" customHeight="1" x14ac:dyDescent="0.25">
      <c r="A13" s="12" t="s">
        <v>25</v>
      </c>
      <c r="B13" s="13">
        <v>4000</v>
      </c>
    </row>
    <row r="14" spans="1:5" s="9" customFormat="1" ht="15" customHeight="1" x14ac:dyDescent="0.25">
      <c r="A14" s="12" t="s">
        <v>26</v>
      </c>
      <c r="B14" s="13">
        <v>3500</v>
      </c>
    </row>
    <row r="15" spans="1:5" s="9" customFormat="1" ht="15" customHeight="1" x14ac:dyDescent="0.25">
      <c r="A15" s="16" t="s">
        <v>22</v>
      </c>
      <c r="B15" s="17">
        <f>B13*12</f>
        <v>48000</v>
      </c>
      <c r="C15" s="16" t="s">
        <v>23</v>
      </c>
      <c r="D15" s="17">
        <f>MIN(B12-B14, B13*12)</f>
        <v>44196</v>
      </c>
      <c r="E15" s="22" t="str">
        <f>IF(D15=B15, "OK", "Требует пополнения")</f>
        <v>Требует пополнения</v>
      </c>
    </row>
    <row r="16" spans="1:5" s="9" customFormat="1" ht="15" customHeight="1" x14ac:dyDescent="0.25">
      <c r="A16" s="16" t="s">
        <v>21</v>
      </c>
      <c r="B16" s="17">
        <f>39*22*52*0.15</f>
        <v>6692.4</v>
      </c>
      <c r="C16" s="16" t="s">
        <v>24</v>
      </c>
      <c r="D16" s="17">
        <f>MAX(MIN(B12-D15-B14-B17, B16), 0)</f>
        <v>0</v>
      </c>
      <c r="E16" s="22" t="str">
        <f>IF(D16=B16, "OK", "Требует пополнения")</f>
        <v>Требует пополнения</v>
      </c>
    </row>
    <row r="17" spans="1:16" s="9" customFormat="1" ht="15" customHeight="1" x14ac:dyDescent="0.25">
      <c r="A17" s="18" t="s">
        <v>27</v>
      </c>
      <c r="B17" s="15">
        <v>0</v>
      </c>
      <c r="C17" s="16" t="s">
        <v>32</v>
      </c>
      <c r="D17" s="17">
        <f>MAX(D16 - B21, 0)</f>
        <v>0</v>
      </c>
      <c r="E17" s="22" t="str">
        <f>IF(D17=B16, "OK", "Требует пополнения")</f>
        <v>Требует пополнения</v>
      </c>
    </row>
    <row r="18" spans="1:16" s="9" customFormat="1" ht="15" customHeight="1" x14ac:dyDescent="0.25">
      <c r="A18" s="16" t="s">
        <v>17</v>
      </c>
      <c r="B18" s="17">
        <f>B12-D15-D16-B14-B17-D20</f>
        <v>0</v>
      </c>
      <c r="C18" s="18" t="s">
        <v>18</v>
      </c>
      <c r="D18" s="15"/>
      <c r="E18" s="21"/>
    </row>
    <row r="19" spans="1:16" s="9" customFormat="1" ht="15" customHeight="1" x14ac:dyDescent="0.25">
      <c r="A19" s="16" t="s">
        <v>31</v>
      </c>
      <c r="B19" s="17">
        <f>IF(B18&gt;0, MAX(B18/12, 100), 100)</f>
        <v>100</v>
      </c>
      <c r="C19" s="18" t="s">
        <v>19</v>
      </c>
      <c r="D19" s="15"/>
      <c r="E19" s="21"/>
    </row>
    <row r="20" spans="1:16" s="9" customFormat="1" ht="15" customHeight="1" x14ac:dyDescent="0.25">
      <c r="A20" s="19" t="s">
        <v>28</v>
      </c>
      <c r="B20" s="20">
        <v>0</v>
      </c>
      <c r="C20" s="18" t="s">
        <v>20</v>
      </c>
      <c r="D20" s="17">
        <f>IF(OR(ISBLANK(D18),ISBLANK(D19)), 0, IFERROR(D18/D19, 0))</f>
        <v>0</v>
      </c>
      <c r="E20" s="21"/>
    </row>
    <row r="21" spans="1:16" s="9" customFormat="1" ht="20.100000000000001" customHeight="1" x14ac:dyDescent="0.25">
      <c r="A21" s="16" t="s">
        <v>29</v>
      </c>
      <c r="B21" s="17">
        <f>IF(B20&gt;0, B19*(B20*0.1), 0)</f>
        <v>0</v>
      </c>
    </row>
    <row r="22" spans="1:16" s="9" customFormat="1" ht="20.100000000000001" customHeight="1" x14ac:dyDescent="0.25">
      <c r="A22" s="10" t="s">
        <v>30</v>
      </c>
      <c r="B22" s="11">
        <f>MAX(MIN(B19 + B21, B18 + D16), 100)</f>
        <v>100</v>
      </c>
      <c r="F22"/>
      <c r="G22"/>
      <c r="H22"/>
      <c r="I22"/>
      <c r="J22"/>
      <c r="K22"/>
      <c r="L22"/>
      <c r="M22"/>
      <c r="N22"/>
      <c r="O22"/>
      <c r="P22"/>
    </row>
    <row r="23" spans="1:16" s="9" customFormat="1" ht="20.100000000000001" customHeight="1" x14ac:dyDescent="0.25">
      <c r="A23" s="10" t="s">
        <v>33</v>
      </c>
      <c r="B23" s="11">
        <f>B18-B22</f>
        <v>-100</v>
      </c>
      <c r="F23"/>
      <c r="G23"/>
      <c r="H23"/>
      <c r="I23"/>
      <c r="J23"/>
      <c r="K23"/>
      <c r="L23"/>
      <c r="M23"/>
      <c r="N23"/>
      <c r="O23"/>
      <c r="P23"/>
    </row>
    <row r="24" spans="1:16" s="9" customFormat="1" ht="20.100000000000001" customHeight="1" x14ac:dyDescent="0.25">
      <c r="F24"/>
      <c r="G24"/>
      <c r="H24"/>
      <c r="I24"/>
      <c r="J24"/>
      <c r="K24"/>
      <c r="L24"/>
      <c r="M24"/>
      <c r="N24"/>
      <c r="O24"/>
      <c r="P24"/>
    </row>
    <row r="50" ht="15" customHeight="1" x14ac:dyDescent="0.25"/>
    <row r="51" ht="15" customHeight="1" x14ac:dyDescent="0.25"/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2A145-8A7B-4E30-BBC3-4E3FCE2E1C16}">
  <sheetPr codeName="Sheet5"/>
  <dimension ref="A1:T2582"/>
  <sheetViews>
    <sheetView showGridLines="0" zoomScale="130" zoomScaleNormal="130" workbookViewId="0">
      <pane ySplit="1" topLeftCell="A89" activePane="bottomLeft" state="frozen"/>
      <selection pane="bottomLeft"/>
    </sheetView>
  </sheetViews>
  <sheetFormatPr defaultRowHeight="15" x14ac:dyDescent="0.25"/>
  <cols>
    <col min="1" max="1" width="11.28515625" style="42" bestFit="1" customWidth="1"/>
    <col min="2" max="2" width="18.7109375" style="38" bestFit="1" customWidth="1"/>
    <col min="3" max="3" width="9.7109375" style="38" bestFit="1" customWidth="1"/>
    <col min="4" max="4" width="10.42578125" style="38" bestFit="1" customWidth="1"/>
    <col min="5" max="5" width="13.5703125" style="41" bestFit="1" customWidth="1"/>
    <col min="6" max="6" width="9.28515625" style="39" bestFit="1" customWidth="1"/>
    <col min="7" max="7" width="17.42578125" style="39" bestFit="1" customWidth="1"/>
    <col min="8" max="8" width="9.28515625" style="39" bestFit="1" customWidth="1"/>
    <col min="9" max="9" width="16" style="38" bestFit="1" customWidth="1"/>
    <col min="10" max="10" width="28.140625" style="39" hidden="1" customWidth="1"/>
    <col min="11" max="11" width="27.7109375" style="39" bestFit="1" customWidth="1"/>
    <col min="12" max="12" width="18.5703125" style="30" bestFit="1" customWidth="1"/>
    <col min="13" max="13" width="14.5703125" style="30" bestFit="1" customWidth="1"/>
    <col min="16" max="16" width="11.85546875" bestFit="1" customWidth="1"/>
    <col min="20" max="20" width="18" style="27" bestFit="1" customWidth="1"/>
  </cols>
  <sheetData>
    <row r="1" spans="1:16" ht="34.5" customHeight="1" x14ac:dyDescent="0.25">
      <c r="A1" s="44" t="s">
        <v>36</v>
      </c>
      <c r="B1" s="45" t="s">
        <v>52</v>
      </c>
      <c r="C1" s="45" t="s">
        <v>49</v>
      </c>
      <c r="D1" s="45" t="s">
        <v>7</v>
      </c>
      <c r="E1" s="46" t="s">
        <v>50</v>
      </c>
      <c r="F1" s="47" t="s">
        <v>8</v>
      </c>
      <c r="G1" s="47" t="s">
        <v>51</v>
      </c>
      <c r="H1" s="47" t="s">
        <v>1</v>
      </c>
      <c r="I1" s="45" t="s">
        <v>53</v>
      </c>
      <c r="J1" s="47" t="s">
        <v>65</v>
      </c>
      <c r="K1" s="47" t="s">
        <v>68</v>
      </c>
      <c r="L1" s="48" t="s">
        <v>67</v>
      </c>
      <c r="M1" s="47" t="s">
        <v>69</v>
      </c>
    </row>
    <row r="2" spans="1:16" x14ac:dyDescent="0.25">
      <c r="A2" s="40">
        <v>45170</v>
      </c>
      <c r="B2" s="38" t="s">
        <v>73</v>
      </c>
      <c r="C2" s="38" t="s">
        <v>74</v>
      </c>
      <c r="H2" s="51">
        <v>1.59</v>
      </c>
      <c r="I2" s="38" t="s">
        <v>38</v>
      </c>
      <c r="K2" s="51">
        <v>1.59</v>
      </c>
      <c r="L2" s="49" t="str">
        <f>IF(C2="BUY",
    ROUND(SUMIFS($J:$J, $D:$D, D2, $A:$A, "&lt;="&amp;A2), 4),
    IF(C2="SELL",
        ROUND(SUMIFS($J:$J, $D:$D, D2, $A:$A, "&lt;="&amp;A2), 4),
        ""))</f>
        <v/>
      </c>
      <c r="M2" s="30" t="s">
        <v>71</v>
      </c>
      <c r="P2" s="25"/>
    </row>
    <row r="3" spans="1:16" x14ac:dyDescent="0.25">
      <c r="A3" s="40">
        <v>45200</v>
      </c>
      <c r="B3" s="38" t="s">
        <v>73</v>
      </c>
      <c r="C3" s="38" t="s">
        <v>74</v>
      </c>
      <c r="H3" s="51">
        <v>2.74</v>
      </c>
      <c r="I3" s="38" t="s">
        <v>38</v>
      </c>
      <c r="K3" s="51">
        <v>2.74</v>
      </c>
      <c r="L3" s="49"/>
      <c r="M3" s="30" t="s">
        <v>71</v>
      </c>
      <c r="P3" s="25"/>
    </row>
    <row r="4" spans="1:16" x14ac:dyDescent="0.25">
      <c r="A4" s="40">
        <v>45231</v>
      </c>
      <c r="B4" s="38" t="s">
        <v>73</v>
      </c>
      <c r="C4" s="38" t="s">
        <v>74</v>
      </c>
      <c r="H4" s="51">
        <v>2.98</v>
      </c>
      <c r="I4" s="38" t="s">
        <v>38</v>
      </c>
      <c r="K4" s="51">
        <v>2.98</v>
      </c>
      <c r="L4" s="49"/>
      <c r="M4" s="30" t="s">
        <v>71</v>
      </c>
      <c r="P4" s="25"/>
    </row>
    <row r="5" spans="1:16" x14ac:dyDescent="0.25">
      <c r="A5" s="40">
        <v>45261</v>
      </c>
      <c r="B5" s="38" t="s">
        <v>73</v>
      </c>
      <c r="C5" s="38" t="s">
        <v>74</v>
      </c>
      <c r="H5" s="51">
        <v>2.89</v>
      </c>
      <c r="I5" s="38" t="s">
        <v>38</v>
      </c>
      <c r="K5" s="51">
        <v>2.89</v>
      </c>
      <c r="L5" s="49"/>
      <c r="M5" s="30" t="s">
        <v>71</v>
      </c>
      <c r="P5" s="25"/>
    </row>
    <row r="6" spans="1:16" x14ac:dyDescent="0.25">
      <c r="A6" s="40">
        <v>45261</v>
      </c>
      <c r="B6" s="38" t="s">
        <v>73</v>
      </c>
      <c r="C6" s="38" t="s">
        <v>74</v>
      </c>
      <c r="D6" s="30"/>
      <c r="H6" s="51">
        <v>0.46</v>
      </c>
      <c r="I6" s="38" t="s">
        <v>38</v>
      </c>
      <c r="K6" s="51">
        <v>0.46</v>
      </c>
      <c r="L6" s="49"/>
      <c r="M6" s="30" t="s">
        <v>70</v>
      </c>
      <c r="P6" s="25"/>
    </row>
    <row r="7" spans="1:16" x14ac:dyDescent="0.25">
      <c r="A7" s="40">
        <v>45279</v>
      </c>
      <c r="B7" s="38" t="s">
        <v>61</v>
      </c>
      <c r="C7" s="38" t="s">
        <v>55</v>
      </c>
      <c r="D7" s="38" t="s">
        <v>37</v>
      </c>
      <c r="E7" s="41">
        <v>342.60711600000002</v>
      </c>
      <c r="F7" s="39">
        <v>12.113</v>
      </c>
      <c r="G7" s="39">
        <v>1</v>
      </c>
      <c r="H7" s="51">
        <f>IF(C7="BUY",
    (J7*F7) + G7,
    IF(C7="SELL",
        (J7*F7) + G7,
        ""))</f>
        <v>4150.9999961080002</v>
      </c>
      <c r="I7" s="38" t="s">
        <v>38</v>
      </c>
      <c r="J7" s="39">
        <f>IF(C7="SELL",
    IF(E7&gt;0, -E7, E7),
    ABS(E7))</f>
        <v>342.60711600000002</v>
      </c>
      <c r="K7" s="51"/>
      <c r="L7" s="49">
        <f>IF(C7="BUY",
    ROUND(SUMIFS($J:$J, $D:$D, D7, $A:$A, "&lt;="&amp;A7), 4),
    IF(C7="SELL",
        ROUND(SUMIFS($J:$J, $D:$D, D7, $A:$A, "&lt;="&amp;A7), 4),
        ""))</f>
        <v>342.6071</v>
      </c>
      <c r="M7" s="30" t="s">
        <v>70</v>
      </c>
      <c r="P7" s="25"/>
    </row>
    <row r="8" spans="1:16" x14ac:dyDescent="0.25">
      <c r="A8" s="40">
        <v>45289</v>
      </c>
      <c r="B8" s="38" t="s">
        <v>73</v>
      </c>
      <c r="C8" s="38" t="s">
        <v>74</v>
      </c>
      <c r="D8" s="30"/>
      <c r="H8" s="51">
        <v>4.01</v>
      </c>
      <c r="I8" s="38" t="s">
        <v>38</v>
      </c>
      <c r="K8" s="51">
        <v>4.01</v>
      </c>
      <c r="L8" s="49"/>
      <c r="M8" s="30" t="s">
        <v>70</v>
      </c>
      <c r="P8" s="25"/>
    </row>
    <row r="9" spans="1:16" x14ac:dyDescent="0.25">
      <c r="A9" s="40">
        <v>45292</v>
      </c>
      <c r="B9" s="38" t="s">
        <v>73</v>
      </c>
      <c r="C9" s="38" t="s">
        <v>74</v>
      </c>
      <c r="H9" s="51">
        <v>11.4</v>
      </c>
      <c r="I9" s="38" t="s">
        <v>38</v>
      </c>
      <c r="K9" s="51">
        <v>11.4</v>
      </c>
      <c r="L9" s="49"/>
      <c r="M9" s="30" t="s">
        <v>71</v>
      </c>
      <c r="P9" s="25"/>
    </row>
    <row r="10" spans="1:16" x14ac:dyDescent="0.25">
      <c r="A10" s="40">
        <v>45323</v>
      </c>
      <c r="B10" s="38" t="s">
        <v>73</v>
      </c>
      <c r="C10" s="38" t="s">
        <v>74</v>
      </c>
      <c r="H10" s="51">
        <v>13.52</v>
      </c>
      <c r="I10" s="38" t="s">
        <v>38</v>
      </c>
      <c r="K10" s="51">
        <v>13.52</v>
      </c>
      <c r="L10" s="49"/>
      <c r="M10" s="30" t="s">
        <v>71</v>
      </c>
      <c r="P10" s="25"/>
    </row>
    <row r="11" spans="1:16" x14ac:dyDescent="0.25">
      <c r="A11" s="40">
        <v>45323</v>
      </c>
      <c r="B11" s="38" t="s">
        <v>73</v>
      </c>
      <c r="C11" s="38" t="s">
        <v>74</v>
      </c>
      <c r="D11" s="30"/>
      <c r="H11" s="51">
        <v>0.21</v>
      </c>
      <c r="I11" s="38" t="s">
        <v>38</v>
      </c>
      <c r="K11" s="51">
        <v>0.21</v>
      </c>
      <c r="L11" s="49"/>
      <c r="M11" s="30" t="s">
        <v>70</v>
      </c>
      <c r="P11" s="25"/>
    </row>
    <row r="12" spans="1:16" x14ac:dyDescent="0.25">
      <c r="A12" s="40">
        <v>45352</v>
      </c>
      <c r="B12" s="38" t="s">
        <v>73</v>
      </c>
      <c r="C12" s="38" t="s">
        <v>74</v>
      </c>
      <c r="H12" s="51">
        <v>12.68</v>
      </c>
      <c r="I12" s="38" t="s">
        <v>38</v>
      </c>
      <c r="K12" s="51">
        <v>12.68</v>
      </c>
      <c r="L12" s="49"/>
      <c r="M12" s="30" t="s">
        <v>71</v>
      </c>
      <c r="P12" s="25"/>
    </row>
    <row r="13" spans="1:16" x14ac:dyDescent="0.25">
      <c r="A13" s="40">
        <v>45352</v>
      </c>
      <c r="B13" s="38" t="s">
        <v>73</v>
      </c>
      <c r="C13" s="38" t="s">
        <v>74</v>
      </c>
      <c r="D13" s="30"/>
      <c r="H13" s="51">
        <v>0.17</v>
      </c>
      <c r="I13" s="38" t="s">
        <v>38</v>
      </c>
      <c r="K13" s="51">
        <v>0.17</v>
      </c>
      <c r="L13" s="49"/>
      <c r="M13" s="30" t="s">
        <v>70</v>
      </c>
      <c r="P13" s="25"/>
    </row>
    <row r="14" spans="1:16" x14ac:dyDescent="0.25">
      <c r="A14" s="40">
        <v>45377</v>
      </c>
      <c r="B14" s="38" t="s">
        <v>61</v>
      </c>
      <c r="C14" s="38" t="s">
        <v>55</v>
      </c>
      <c r="D14" s="38" t="s">
        <v>39</v>
      </c>
      <c r="E14" s="41">
        <v>18.185950999999999</v>
      </c>
      <c r="F14" s="39">
        <v>175.96</v>
      </c>
      <c r="G14" s="39">
        <v>1</v>
      </c>
      <c r="H14" s="51">
        <f>IF(C14="BUY",
    (J14*F14) + G14,
    IF(C14="SELL",
        (J14*F14) + G14,
        ""))</f>
        <v>3200.9999379599999</v>
      </c>
      <c r="I14" s="38" t="s">
        <v>38</v>
      </c>
      <c r="J14" s="39">
        <f>IF(C14="SELL",
    IF(E14&gt;0, -E14, E14),
    ABS(E14))</f>
        <v>18.185950999999999</v>
      </c>
      <c r="K14" s="51"/>
      <c r="L14" s="49">
        <f>IF(C14="BUY",
    ROUND(SUMIFS($J:$J, $D:$D, D14, $A:$A, "&lt;="&amp;A14), 4),
    IF(C14="SELL",
        ROUND(SUMIFS($J:$J, $D:$D, D14, $A:$A, "&lt;="&amp;A14), 4),
        ""))</f>
        <v>18.186</v>
      </c>
      <c r="M14" s="30" t="s">
        <v>70</v>
      </c>
      <c r="P14" s="25"/>
    </row>
    <row r="15" spans="1:16" x14ac:dyDescent="0.25">
      <c r="A15" s="40">
        <v>45377</v>
      </c>
      <c r="B15" s="38" t="s">
        <v>61</v>
      </c>
      <c r="C15" s="38" t="s">
        <v>56</v>
      </c>
      <c r="D15" s="38" t="s">
        <v>37</v>
      </c>
      <c r="E15" s="41">
        <v>342.60711600000002</v>
      </c>
      <c r="F15" s="39">
        <v>9.3335000000000008</v>
      </c>
      <c r="G15" s="39">
        <v>1</v>
      </c>
      <c r="H15" s="51">
        <f>IF(C15="BUY",
    (J15*F15) + G15,
    IF(C15="SELL",
        (J15*F15) + G15,
        ""))</f>
        <v>-3196.7235171860007</v>
      </c>
      <c r="I15" s="38" t="s">
        <v>38</v>
      </c>
      <c r="J15" s="39">
        <f>IF(C15="SELL",
    IF(E15&gt;0, -E15, E15),
    ABS(E15))</f>
        <v>-342.60711600000002</v>
      </c>
      <c r="K15" s="51">
        <v>-954.28</v>
      </c>
      <c r="L15" s="49">
        <f>IF(C15="BUY",
    ROUND(SUMIFS($J:$J, $D:$D, D15, $A:$A, "&lt;="&amp;A15), 4),
    IF(C15="SELL",
        ROUND(SUMIFS($J:$J, $D:$D, D15, $A:$A, "&lt;="&amp;A15), 4),
        ""))</f>
        <v>0</v>
      </c>
      <c r="M15" s="30" t="s">
        <v>70</v>
      </c>
      <c r="P15" s="25"/>
    </row>
    <row r="16" spans="1:16" x14ac:dyDescent="0.25">
      <c r="A16" s="40">
        <v>45383</v>
      </c>
      <c r="B16" s="38" t="s">
        <v>73</v>
      </c>
      <c r="C16" s="38" t="s">
        <v>74</v>
      </c>
      <c r="H16" s="51">
        <v>13.59</v>
      </c>
      <c r="I16" s="38" t="s">
        <v>38</v>
      </c>
      <c r="K16" s="51">
        <v>13.59</v>
      </c>
      <c r="L16" s="49"/>
      <c r="M16" s="30" t="s">
        <v>71</v>
      </c>
      <c r="P16" s="25"/>
    </row>
    <row r="17" spans="1:16" x14ac:dyDescent="0.25">
      <c r="A17" s="40">
        <v>45383</v>
      </c>
      <c r="B17" s="38" t="s">
        <v>73</v>
      </c>
      <c r="C17" s="38" t="s">
        <v>74</v>
      </c>
      <c r="D17" s="30"/>
      <c r="H17" s="51">
        <v>0.18</v>
      </c>
      <c r="I17" s="38" t="s">
        <v>38</v>
      </c>
      <c r="K17" s="51">
        <v>0.18</v>
      </c>
      <c r="L17" s="49"/>
      <c r="M17" s="30" t="s">
        <v>70</v>
      </c>
      <c r="P17" s="25"/>
    </row>
    <row r="18" spans="1:16" x14ac:dyDescent="0.25">
      <c r="A18" s="40">
        <v>45391</v>
      </c>
      <c r="B18" s="38" t="s">
        <v>54</v>
      </c>
      <c r="C18" s="38" t="s">
        <v>55</v>
      </c>
      <c r="D18" s="38" t="s">
        <v>40</v>
      </c>
      <c r="E18" s="41">
        <v>29.476973879999999</v>
      </c>
      <c r="F18" s="39">
        <v>169.59</v>
      </c>
      <c r="G18" s="39">
        <v>1</v>
      </c>
      <c r="H18" s="51">
        <f>IF(C18="BUY",
    (J18*F18) + G18,
    IF(C18="SELL",
        (J18*F18) + G18,
        ""))</f>
        <v>5000.0000003092</v>
      </c>
      <c r="I18" s="38" t="s">
        <v>41</v>
      </c>
      <c r="J18" s="39">
        <f>IF(C18="SELL",
    IF(E18&gt;0, -E18, E18),
    ABS(E18))</f>
        <v>29.476973879999999</v>
      </c>
      <c r="K18" s="51"/>
      <c r="L18" s="49">
        <f>IF(C18="BUY",
    ROUND(SUMIFS($J:$J, $D:$D, D18, $A:$A, "&lt;="&amp;A18), 4),
    IF(C18="SELL",
        ROUND(SUMIFS($J:$J, $D:$D, D18, $A:$A, "&lt;="&amp;A18), 4),
        ""))</f>
        <v>29.477</v>
      </c>
      <c r="M18" s="30" t="s">
        <v>71</v>
      </c>
      <c r="P18" s="25"/>
    </row>
    <row r="19" spans="1:16" x14ac:dyDescent="0.25">
      <c r="A19" s="40">
        <v>45406</v>
      </c>
      <c r="B19" s="38" t="s">
        <v>54</v>
      </c>
      <c r="C19" s="38" t="s">
        <v>55</v>
      </c>
      <c r="D19" s="38" t="s">
        <v>42</v>
      </c>
      <c r="E19" s="41">
        <v>35.816617999999998</v>
      </c>
      <c r="F19" s="39">
        <v>69.8</v>
      </c>
      <c r="G19" s="39">
        <v>1</v>
      </c>
      <c r="H19" s="51">
        <f>IF(C19="BUY",
    (J19*F19) + G19,
    IF(C19="SELL",
        (J19*F19) + G19,
        ""))</f>
        <v>2500.9999363999996</v>
      </c>
      <c r="I19" s="38" t="s">
        <v>38</v>
      </c>
      <c r="J19" s="39">
        <f>IF(C19="SELL",
    IF(E19&gt;0, -E19, E19),
    ABS(E19))</f>
        <v>35.816617999999998</v>
      </c>
      <c r="K19" s="51"/>
      <c r="L19" s="49">
        <f>IF(C19="BUY",
    ROUND(SUMIFS($J:$J, $D:$D, D19, $A:$A, "&lt;="&amp;A19), 4),
    IF(C19="SELL",
        ROUND(SUMIFS($J:$J, $D:$D, D19, $A:$A, "&lt;="&amp;A19), 4),
        ""))</f>
        <v>35.816600000000001</v>
      </c>
      <c r="M19" s="30" t="s">
        <v>70</v>
      </c>
      <c r="P19" s="25"/>
    </row>
    <row r="20" spans="1:16" x14ac:dyDescent="0.25">
      <c r="A20" s="40">
        <v>45413</v>
      </c>
      <c r="B20" s="38" t="s">
        <v>73</v>
      </c>
      <c r="C20" s="38" t="s">
        <v>74</v>
      </c>
      <c r="H20" s="51">
        <v>4.1500000000000004</v>
      </c>
      <c r="I20" s="38" t="s">
        <v>38</v>
      </c>
      <c r="K20" s="51">
        <v>4.1500000000000004</v>
      </c>
      <c r="L20" s="49"/>
      <c r="M20" s="30" t="s">
        <v>71</v>
      </c>
      <c r="P20" s="25"/>
    </row>
    <row r="21" spans="1:16" x14ac:dyDescent="0.25">
      <c r="A21" s="40">
        <v>45413</v>
      </c>
      <c r="B21" s="38" t="s">
        <v>73</v>
      </c>
      <c r="C21" s="38" t="s">
        <v>74</v>
      </c>
      <c r="D21" s="30"/>
      <c r="H21" s="51">
        <v>8.8000000000000007</v>
      </c>
      <c r="I21" s="38" t="s">
        <v>38</v>
      </c>
      <c r="K21" s="51">
        <v>8.8000000000000007</v>
      </c>
      <c r="L21" s="49"/>
      <c r="M21" s="30" t="s">
        <v>70</v>
      </c>
      <c r="P21" s="25"/>
    </row>
    <row r="22" spans="1:16" x14ac:dyDescent="0.25">
      <c r="A22" s="40">
        <v>45414</v>
      </c>
      <c r="B22" s="38" t="s">
        <v>61</v>
      </c>
      <c r="C22" s="38" t="s">
        <v>55</v>
      </c>
      <c r="D22" s="38" t="s">
        <v>34</v>
      </c>
      <c r="E22" s="41">
        <v>4.0807000000000003E-2</v>
      </c>
      <c r="F22" s="39">
        <v>109.54</v>
      </c>
      <c r="G22" s="39">
        <v>0</v>
      </c>
      <c r="H22" s="51">
        <f>IF(C22="BUY",
    (J22*F22) + G22,
    IF(C22="SELL",
        (J22*F22) + G22,
        ""))</f>
        <v>4.4699987800000009</v>
      </c>
      <c r="I22" s="38" t="s">
        <v>38</v>
      </c>
      <c r="J22" s="39">
        <f>IF(C22="SELL",
    IF(E22&gt;0, -E22, E22),
    ABS(E22))</f>
        <v>4.0807000000000003E-2</v>
      </c>
      <c r="K22" s="51"/>
      <c r="L22" s="49">
        <f>IF(C22="BUY",
    ROUND(SUMIFS($J:$J, $D:$D, D22, $A:$A, "&lt;="&amp;A22), 4),
    IF(C22="SELL",
        ROUND(SUMIFS($J:$J, $D:$D, D22, $A:$A, "&lt;="&amp;A22), 4),
        ""))</f>
        <v>0.49730000000000002</v>
      </c>
      <c r="M22" s="30" t="s">
        <v>70</v>
      </c>
      <c r="P22" s="25"/>
    </row>
    <row r="23" spans="1:16" x14ac:dyDescent="0.25">
      <c r="A23" s="40">
        <v>45414</v>
      </c>
      <c r="B23" s="38" t="s">
        <v>61</v>
      </c>
      <c r="C23" s="38" t="s">
        <v>55</v>
      </c>
      <c r="D23" s="38" t="s">
        <v>34</v>
      </c>
      <c r="E23" s="41">
        <v>0.45645400000000003</v>
      </c>
      <c r="F23" s="39">
        <v>109.54</v>
      </c>
      <c r="G23" s="39">
        <v>0</v>
      </c>
      <c r="H23" s="51">
        <f>IF(C23="BUY",
    (J23*F23) + G23,
    IF(C23="SELL",
        (J23*F23) + G23,
        ""))</f>
        <v>49.999971160000008</v>
      </c>
      <c r="I23" s="38" t="s">
        <v>38</v>
      </c>
      <c r="J23" s="39">
        <f>IF(C23="SELL",
    IF(E23&gt;0, -E23, E23),
    ABS(E23))</f>
        <v>0.45645400000000003</v>
      </c>
      <c r="K23" s="51"/>
      <c r="L23" s="49">
        <f>IF(C23="BUY",
    ROUND(SUMIFS($J:$J, $D:$D, D23, $A:$A, "&lt;="&amp;A23), 4),
    IF(C23="SELL",
        ROUND(SUMIFS($J:$J, $D:$D, D23, $A:$A, "&lt;="&amp;A23), 4),
        ""))</f>
        <v>0.49730000000000002</v>
      </c>
      <c r="M23" s="30" t="s">
        <v>70</v>
      </c>
      <c r="P23" s="25"/>
    </row>
    <row r="24" spans="1:16" x14ac:dyDescent="0.25">
      <c r="A24" s="40">
        <v>45429</v>
      </c>
      <c r="B24" s="38" t="s">
        <v>54</v>
      </c>
      <c r="C24" s="38" t="s">
        <v>55</v>
      </c>
      <c r="D24" s="38" t="s">
        <v>43</v>
      </c>
      <c r="E24" s="41">
        <v>16.624551</v>
      </c>
      <c r="F24" s="39">
        <v>150.36000000000001</v>
      </c>
      <c r="G24" s="39">
        <v>1</v>
      </c>
      <c r="H24" s="51">
        <f>IF(C24="BUY",
    (J24*F24) + G24,
    IF(C24="SELL",
        (J24*F24) + G24,
        ""))</f>
        <v>2500.6674883600003</v>
      </c>
      <c r="I24" s="38" t="s">
        <v>38</v>
      </c>
      <c r="J24" s="39">
        <f>IF(C24="SELL",
    IF(E24&gt;0, -E24, E24),
    ABS(E24))</f>
        <v>16.624551</v>
      </c>
      <c r="K24" s="51"/>
      <c r="L24" s="49">
        <f>IF(C24="BUY",
    ROUND(SUMIFS($J:$J, $D:$D, D24, $A:$A, "&lt;="&amp;A24), 4),
    IF(C24="SELL",
        ROUND(SUMIFS($J:$J, $D:$D, D24, $A:$A, "&lt;="&amp;A24), 4),
        ""))</f>
        <v>16.624600000000001</v>
      </c>
      <c r="M24" s="30" t="s">
        <v>70</v>
      </c>
      <c r="P24" s="25"/>
    </row>
    <row r="25" spans="1:16" x14ac:dyDescent="0.25">
      <c r="A25" s="40">
        <v>45429</v>
      </c>
      <c r="B25" s="38" t="s">
        <v>72</v>
      </c>
      <c r="C25" s="38" t="s">
        <v>72</v>
      </c>
      <c r="H25" s="51">
        <v>6.27</v>
      </c>
      <c r="I25" s="38" t="s">
        <v>41</v>
      </c>
      <c r="K25" s="51">
        <v>6.27</v>
      </c>
      <c r="L25" s="49"/>
      <c r="M25" s="30" t="s">
        <v>71</v>
      </c>
      <c r="P25" s="25"/>
    </row>
    <row r="26" spans="1:16" x14ac:dyDescent="0.25">
      <c r="A26" s="40">
        <v>45432</v>
      </c>
      <c r="B26" s="38" t="s">
        <v>54</v>
      </c>
      <c r="C26" s="38" t="s">
        <v>55</v>
      </c>
      <c r="D26" s="38" t="s">
        <v>44</v>
      </c>
      <c r="E26" s="41">
        <v>33.950093000000003</v>
      </c>
      <c r="F26" s="39">
        <v>29.454999999999998</v>
      </c>
      <c r="G26" s="39">
        <v>1</v>
      </c>
      <c r="H26" s="51">
        <f t="shared" ref="H26:H38" si="0">IF(C26="BUY",
    (J26*F26) + G26,
    IF(C26="SELL",
        (J26*F26) + G26,
        ""))</f>
        <v>1000.999989315</v>
      </c>
      <c r="I26" s="38" t="s">
        <v>38</v>
      </c>
      <c r="J26" s="39">
        <f t="shared" ref="J26:J38" si="1">IF(C26="SELL",
    IF(E26&gt;0, -E26, E26),
    ABS(E26))</f>
        <v>33.950093000000003</v>
      </c>
      <c r="K26" s="51"/>
      <c r="L26" s="49">
        <f t="shared" ref="L26:L38" si="2">IF(C26="BUY",
    ROUND(SUMIFS($J:$J, $D:$D, D26, $A:$A, "&lt;="&amp;A26), 4),
    IF(C26="SELL",
        ROUND(SUMIFS($J:$J, $D:$D, D26, $A:$A, "&lt;="&amp;A26), 4),
        ""))</f>
        <v>33.950099999999999</v>
      </c>
      <c r="M26" s="30" t="s">
        <v>70</v>
      </c>
      <c r="P26" s="25"/>
    </row>
    <row r="27" spans="1:16" x14ac:dyDescent="0.25">
      <c r="A27" s="40">
        <v>45432</v>
      </c>
      <c r="B27" s="38" t="s">
        <v>54</v>
      </c>
      <c r="C27" s="38" t="s">
        <v>55</v>
      </c>
      <c r="D27" s="38" t="s">
        <v>45</v>
      </c>
      <c r="E27" s="41">
        <v>102.56410200000001</v>
      </c>
      <c r="F27" s="39">
        <v>9.6999999999999993</v>
      </c>
      <c r="G27" s="39">
        <v>1</v>
      </c>
      <c r="H27" s="51">
        <f t="shared" si="0"/>
        <v>995.87178940000001</v>
      </c>
      <c r="I27" s="38" t="s">
        <v>38</v>
      </c>
      <c r="J27" s="39">
        <f t="shared" si="1"/>
        <v>102.56410200000001</v>
      </c>
      <c r="K27" s="51"/>
      <c r="L27" s="49">
        <f t="shared" si="2"/>
        <v>102.5641</v>
      </c>
      <c r="M27" s="30" t="s">
        <v>70</v>
      </c>
      <c r="P27" s="25"/>
    </row>
    <row r="28" spans="1:16" x14ac:dyDescent="0.25">
      <c r="A28" s="40">
        <v>45432</v>
      </c>
      <c r="B28" s="38" t="s">
        <v>54</v>
      </c>
      <c r="C28" s="38" t="s">
        <v>55</v>
      </c>
      <c r="D28" s="38" t="s">
        <v>46</v>
      </c>
      <c r="E28" s="41">
        <v>5.7497699999999998</v>
      </c>
      <c r="F28" s="39">
        <v>434.8</v>
      </c>
      <c r="G28" s="39">
        <v>1</v>
      </c>
      <c r="H28" s="51">
        <f t="shared" si="0"/>
        <v>2500.999996</v>
      </c>
      <c r="I28" s="38" t="s">
        <v>38</v>
      </c>
      <c r="J28" s="39">
        <f t="shared" si="1"/>
        <v>5.7497699999999998</v>
      </c>
      <c r="K28" s="51"/>
      <c r="L28" s="49">
        <f t="shared" si="2"/>
        <v>5.7497999999999996</v>
      </c>
      <c r="M28" s="30" t="s">
        <v>70</v>
      </c>
      <c r="P28" s="25"/>
    </row>
    <row r="29" spans="1:16" x14ac:dyDescent="0.25">
      <c r="A29" s="40">
        <v>45433</v>
      </c>
      <c r="B29" s="38" t="s">
        <v>61</v>
      </c>
      <c r="C29" s="38" t="s">
        <v>55</v>
      </c>
      <c r="D29" s="38" t="s">
        <v>34</v>
      </c>
      <c r="E29" s="41">
        <v>8.6655110000000004</v>
      </c>
      <c r="F29" s="39">
        <v>115.4</v>
      </c>
      <c r="G29" s="39">
        <v>1</v>
      </c>
      <c r="H29" s="51">
        <f t="shared" si="0"/>
        <v>1000.9999694000001</v>
      </c>
      <c r="I29" s="38" t="s">
        <v>38</v>
      </c>
      <c r="J29" s="39">
        <f t="shared" si="1"/>
        <v>8.6655110000000004</v>
      </c>
      <c r="K29" s="51"/>
      <c r="L29" s="49">
        <f t="shared" si="2"/>
        <v>9.1628000000000007</v>
      </c>
      <c r="M29" s="30" t="s">
        <v>70</v>
      </c>
      <c r="P29" s="25"/>
    </row>
    <row r="30" spans="1:16" x14ac:dyDescent="0.25">
      <c r="A30" s="40">
        <v>45433</v>
      </c>
      <c r="B30" s="38" t="s">
        <v>54</v>
      </c>
      <c r="C30" s="38" t="s">
        <v>56</v>
      </c>
      <c r="D30" s="38" t="s">
        <v>42</v>
      </c>
      <c r="E30" s="41">
        <v>17.908308999999999</v>
      </c>
      <c r="F30" s="39">
        <v>79.7</v>
      </c>
      <c r="G30" s="39">
        <v>1</v>
      </c>
      <c r="H30" s="51">
        <f t="shared" si="0"/>
        <v>-1426.2922272999999</v>
      </c>
      <c r="I30" s="38" t="s">
        <v>38</v>
      </c>
      <c r="J30" s="39">
        <f t="shared" si="1"/>
        <v>-17.908308999999999</v>
      </c>
      <c r="K30" s="51">
        <v>175.79</v>
      </c>
      <c r="L30" s="49">
        <f t="shared" si="2"/>
        <v>17.908300000000001</v>
      </c>
      <c r="M30" s="30" t="s">
        <v>70</v>
      </c>
      <c r="P30" s="25"/>
    </row>
    <row r="31" spans="1:16" x14ac:dyDescent="0.25">
      <c r="A31" s="40">
        <v>45435</v>
      </c>
      <c r="B31" s="38" t="s">
        <v>61</v>
      </c>
      <c r="C31" s="38" t="s">
        <v>56</v>
      </c>
      <c r="D31" s="38" t="s">
        <v>39</v>
      </c>
      <c r="E31" s="41">
        <v>18.185950999999999</v>
      </c>
      <c r="F31" s="39">
        <v>183.97</v>
      </c>
      <c r="G31" s="39">
        <v>1</v>
      </c>
      <c r="H31" s="51">
        <f t="shared" si="0"/>
        <v>-3344.6694054699997</v>
      </c>
      <c r="I31" s="38" t="s">
        <v>38</v>
      </c>
      <c r="J31" s="39">
        <f t="shared" si="1"/>
        <v>-18.185950999999999</v>
      </c>
      <c r="K31" s="51">
        <v>143.66999999999999</v>
      </c>
      <c r="L31" s="49">
        <f t="shared" si="2"/>
        <v>0</v>
      </c>
      <c r="M31" s="30" t="s">
        <v>70</v>
      </c>
      <c r="P31" s="25"/>
    </row>
    <row r="32" spans="1:16" x14ac:dyDescent="0.25">
      <c r="A32" s="40">
        <v>45435</v>
      </c>
      <c r="B32" s="38" t="s">
        <v>54</v>
      </c>
      <c r="C32" s="38" t="s">
        <v>56</v>
      </c>
      <c r="D32" s="38" t="s">
        <v>42</v>
      </c>
      <c r="E32" s="41">
        <v>17.908308999999999</v>
      </c>
      <c r="F32" s="39">
        <v>74.900000000000006</v>
      </c>
      <c r="G32" s="39">
        <v>1</v>
      </c>
      <c r="H32" s="51">
        <f t="shared" si="0"/>
        <v>-1340.3323441</v>
      </c>
      <c r="I32" s="38" t="s">
        <v>38</v>
      </c>
      <c r="J32" s="39">
        <f t="shared" si="1"/>
        <v>-17.908308999999999</v>
      </c>
      <c r="K32" s="51">
        <v>89.83</v>
      </c>
      <c r="L32" s="49">
        <f t="shared" si="2"/>
        <v>0</v>
      </c>
      <c r="M32" s="30" t="s">
        <v>70</v>
      </c>
      <c r="P32" s="25"/>
    </row>
    <row r="33" spans="1:16" x14ac:dyDescent="0.25">
      <c r="A33" s="40">
        <v>45435</v>
      </c>
      <c r="B33" s="38" t="s">
        <v>54</v>
      </c>
      <c r="C33" s="38" t="s">
        <v>56</v>
      </c>
      <c r="D33" s="38" t="s">
        <v>43</v>
      </c>
      <c r="E33" s="41">
        <v>16.624551</v>
      </c>
      <c r="F33" s="39">
        <v>156.4</v>
      </c>
      <c r="G33" s="39">
        <v>1</v>
      </c>
      <c r="H33" s="51">
        <f t="shared" si="0"/>
        <v>-2599.0797764000004</v>
      </c>
      <c r="I33" s="38" t="s">
        <v>38</v>
      </c>
      <c r="J33" s="39">
        <f t="shared" si="1"/>
        <v>-16.624551</v>
      </c>
      <c r="K33" s="51">
        <v>98.41</v>
      </c>
      <c r="L33" s="49">
        <f t="shared" si="2"/>
        <v>0</v>
      </c>
      <c r="M33" s="30" t="s">
        <v>70</v>
      </c>
      <c r="P33" s="25"/>
    </row>
    <row r="34" spans="1:16" x14ac:dyDescent="0.25">
      <c r="A34" s="40">
        <v>45435</v>
      </c>
      <c r="B34" s="38" t="s">
        <v>54</v>
      </c>
      <c r="C34" s="38" t="s">
        <v>56</v>
      </c>
      <c r="D34" s="38" t="s">
        <v>44</v>
      </c>
      <c r="E34" s="41">
        <v>33.950093000000003</v>
      </c>
      <c r="F34" s="39">
        <v>29.26</v>
      </c>
      <c r="G34" s="39">
        <v>1</v>
      </c>
      <c r="H34" s="51">
        <f t="shared" si="0"/>
        <v>-992.37972118000016</v>
      </c>
      <c r="I34" s="38" t="s">
        <v>38</v>
      </c>
      <c r="J34" s="39">
        <f t="shared" si="1"/>
        <v>-33.950093000000003</v>
      </c>
      <c r="K34" s="51">
        <v>-8.6199999999999992</v>
      </c>
      <c r="L34" s="49">
        <f t="shared" si="2"/>
        <v>0</v>
      </c>
      <c r="M34" s="30" t="s">
        <v>70</v>
      </c>
      <c r="P34" s="25"/>
    </row>
    <row r="35" spans="1:16" x14ac:dyDescent="0.25">
      <c r="A35" s="40">
        <v>45435</v>
      </c>
      <c r="B35" s="38" t="s">
        <v>54</v>
      </c>
      <c r="C35" s="38" t="s">
        <v>56</v>
      </c>
      <c r="D35" s="38" t="s">
        <v>45</v>
      </c>
      <c r="E35" s="41">
        <v>102.56410200000001</v>
      </c>
      <c r="F35" s="39">
        <v>9.6999999999999993</v>
      </c>
      <c r="G35" s="39">
        <v>1</v>
      </c>
      <c r="H35" s="51">
        <f t="shared" si="0"/>
        <v>-993.87178940000001</v>
      </c>
      <c r="I35" s="38" t="s">
        <v>38</v>
      </c>
      <c r="J35" s="39">
        <f t="shared" si="1"/>
        <v>-102.56410200000001</v>
      </c>
      <c r="K35" s="51">
        <v>-2</v>
      </c>
      <c r="L35" s="49">
        <f t="shared" si="2"/>
        <v>0</v>
      </c>
      <c r="M35" s="30" t="s">
        <v>70</v>
      </c>
      <c r="P35" s="25"/>
    </row>
    <row r="36" spans="1:16" x14ac:dyDescent="0.25">
      <c r="A36" s="40">
        <v>45435</v>
      </c>
      <c r="B36" s="38" t="s">
        <v>54</v>
      </c>
      <c r="C36" s="38" t="s">
        <v>56</v>
      </c>
      <c r="D36" s="38" t="s">
        <v>46</v>
      </c>
      <c r="E36" s="41">
        <v>5.7497699999999998</v>
      </c>
      <c r="F36" s="39">
        <v>436.05</v>
      </c>
      <c r="G36" s="39">
        <v>1</v>
      </c>
      <c r="H36" s="51">
        <f t="shared" si="0"/>
        <v>-2506.1872085</v>
      </c>
      <c r="I36" s="38" t="s">
        <v>38</v>
      </c>
      <c r="J36" s="39">
        <f t="shared" si="1"/>
        <v>-5.7497699999999998</v>
      </c>
      <c r="K36" s="51">
        <v>5.19</v>
      </c>
      <c r="L36" s="49">
        <f t="shared" si="2"/>
        <v>0</v>
      </c>
      <c r="M36" s="30" t="s">
        <v>70</v>
      </c>
      <c r="P36" s="25"/>
    </row>
    <row r="37" spans="1:16" x14ac:dyDescent="0.25">
      <c r="A37" s="40">
        <v>45435</v>
      </c>
      <c r="B37" s="38" t="s">
        <v>61</v>
      </c>
      <c r="C37" s="38" t="s">
        <v>56</v>
      </c>
      <c r="D37" s="38" t="s">
        <v>34</v>
      </c>
      <c r="E37" s="41">
        <v>9.1627720000000004</v>
      </c>
      <c r="F37" s="39">
        <v>116.24</v>
      </c>
      <c r="G37" s="39">
        <v>1</v>
      </c>
      <c r="H37" s="51">
        <f t="shared" si="0"/>
        <v>-1064.0806172800001</v>
      </c>
      <c r="I37" s="38" t="s">
        <v>38</v>
      </c>
      <c r="J37" s="39">
        <f t="shared" si="1"/>
        <v>-9.1627720000000004</v>
      </c>
      <c r="K37" s="51">
        <v>8.61</v>
      </c>
      <c r="L37" s="49">
        <f t="shared" si="2"/>
        <v>0</v>
      </c>
      <c r="M37" s="30" t="s">
        <v>70</v>
      </c>
      <c r="P37" s="25"/>
    </row>
    <row r="38" spans="1:16" x14ac:dyDescent="0.25">
      <c r="A38" s="40">
        <v>45435</v>
      </c>
      <c r="B38" s="38" t="s">
        <v>54</v>
      </c>
      <c r="C38" s="38" t="s">
        <v>56</v>
      </c>
      <c r="D38" s="38" t="s">
        <v>40</v>
      </c>
      <c r="E38" s="41">
        <v>29.476973879999999</v>
      </c>
      <c r="F38" s="39">
        <v>190.98</v>
      </c>
      <c r="G38" s="39">
        <v>1</v>
      </c>
      <c r="H38" s="51">
        <f t="shared" si="0"/>
        <v>-5628.5124716023993</v>
      </c>
      <c r="I38" s="38" t="s">
        <v>41</v>
      </c>
      <c r="J38" s="39">
        <f t="shared" si="1"/>
        <v>-29.476973879999999</v>
      </c>
      <c r="K38" s="51">
        <v>628.51</v>
      </c>
      <c r="L38" s="49">
        <f t="shared" si="2"/>
        <v>0</v>
      </c>
      <c r="M38" s="30" t="s">
        <v>71</v>
      </c>
      <c r="P38" s="25"/>
    </row>
    <row r="39" spans="1:16" x14ac:dyDescent="0.25">
      <c r="A39" s="40">
        <v>45444</v>
      </c>
      <c r="B39" s="38" t="s">
        <v>73</v>
      </c>
      <c r="C39" s="38" t="s">
        <v>74</v>
      </c>
      <c r="H39" s="51">
        <v>0.91</v>
      </c>
      <c r="I39" s="38" t="s">
        <v>38</v>
      </c>
      <c r="K39" s="51">
        <v>0.91</v>
      </c>
      <c r="L39" s="49"/>
      <c r="M39" s="30" t="s">
        <v>71</v>
      </c>
      <c r="P39" s="25"/>
    </row>
    <row r="40" spans="1:16" x14ac:dyDescent="0.25">
      <c r="A40" s="40">
        <v>45444</v>
      </c>
      <c r="B40" s="38" t="s">
        <v>73</v>
      </c>
      <c r="C40" s="38" t="s">
        <v>74</v>
      </c>
      <c r="H40" s="51">
        <v>6.26</v>
      </c>
      <c r="I40" s="38" t="s">
        <v>41</v>
      </c>
      <c r="K40" s="51">
        <v>6.26</v>
      </c>
      <c r="L40" s="49"/>
      <c r="M40" s="30" t="s">
        <v>71</v>
      </c>
    </row>
    <row r="41" spans="1:16" x14ac:dyDescent="0.25">
      <c r="A41" s="40">
        <v>45444</v>
      </c>
      <c r="B41" s="38" t="s">
        <v>73</v>
      </c>
      <c r="C41" s="38" t="s">
        <v>74</v>
      </c>
      <c r="D41" s="30"/>
      <c r="H41" s="51">
        <v>28.67</v>
      </c>
      <c r="I41" s="38" t="s">
        <v>38</v>
      </c>
      <c r="K41" s="51">
        <v>28.67</v>
      </c>
      <c r="L41" s="49"/>
      <c r="M41" s="30" t="s">
        <v>70</v>
      </c>
      <c r="P41" s="25"/>
    </row>
    <row r="42" spans="1:16" x14ac:dyDescent="0.25">
      <c r="A42" s="40">
        <v>45446</v>
      </c>
      <c r="B42" s="38" t="s">
        <v>61</v>
      </c>
      <c r="C42" s="38" t="s">
        <v>55</v>
      </c>
      <c r="D42" s="38" t="s">
        <v>34</v>
      </c>
      <c r="E42" s="41">
        <v>0.128357</v>
      </c>
      <c r="F42" s="39">
        <v>112.42</v>
      </c>
      <c r="G42" s="39">
        <v>0</v>
      </c>
      <c r="H42" s="51">
        <f>IF(C42="BUY",
    (J42*F42) + G42,
    IF(C42="SELL",
        (J42*F42) + G42,
        ""))</f>
        <v>14.429893939999999</v>
      </c>
      <c r="I42" s="38" t="s">
        <v>38</v>
      </c>
      <c r="J42" s="39">
        <f>IF(C42="SELL",
    IF(E42&gt;0, -E42, E42),
    ABS(E42))</f>
        <v>0.128357</v>
      </c>
      <c r="K42" s="51"/>
      <c r="L42" s="49">
        <f>IF(C42="BUY",
    ROUND(SUMIFS($J:$J, $D:$D, D42, $A:$A, "&lt;="&amp;A42), 4),
    IF(C42="SELL",
        ROUND(SUMIFS($J:$J, $D:$D, D42, $A:$A, "&lt;="&amp;A42), 4),
        ""))</f>
        <v>0.57279999999999998</v>
      </c>
      <c r="M42" s="30" t="s">
        <v>70</v>
      </c>
      <c r="P42" s="25"/>
    </row>
    <row r="43" spans="1:16" x14ac:dyDescent="0.25">
      <c r="A43" s="40">
        <v>45446</v>
      </c>
      <c r="B43" s="38" t="s">
        <v>61</v>
      </c>
      <c r="C43" s="38" t="s">
        <v>55</v>
      </c>
      <c r="D43" s="38" t="s">
        <v>34</v>
      </c>
      <c r="E43" s="41">
        <v>0.44444400000000001</v>
      </c>
      <c r="F43" s="39">
        <v>112.5</v>
      </c>
      <c r="G43" s="39">
        <v>0</v>
      </c>
      <c r="H43" s="51">
        <f>IF(C43="BUY",
    (J43*F43) + G43,
    IF(C43="SELL",
        (J43*F43) + G43,
        ""))</f>
        <v>49.999949999999998</v>
      </c>
      <c r="I43" s="38" t="s">
        <v>38</v>
      </c>
      <c r="J43" s="39">
        <f>IF(C43="SELL",
    IF(E43&gt;0, -E43, E43),
    ABS(E43))</f>
        <v>0.44444400000000001</v>
      </c>
      <c r="K43" s="51"/>
      <c r="L43" s="49">
        <f>IF(C43="BUY",
    ROUND(SUMIFS($J:$J, $D:$D, D43, $A:$A, "&lt;="&amp;A43), 4),
    IF(C43="SELL",
        ROUND(SUMIFS($J:$J, $D:$D, D43, $A:$A, "&lt;="&amp;A43), 4),
        ""))</f>
        <v>0.57279999999999998</v>
      </c>
      <c r="M43" s="30" t="s">
        <v>70</v>
      </c>
      <c r="P43" s="25"/>
    </row>
    <row r="44" spans="1:16" x14ac:dyDescent="0.25">
      <c r="A44" s="40">
        <v>45446</v>
      </c>
      <c r="B44" s="38" t="s">
        <v>54</v>
      </c>
      <c r="C44" s="38" t="s">
        <v>55</v>
      </c>
      <c r="D44" s="38" t="s">
        <v>47</v>
      </c>
      <c r="E44" s="41">
        <v>7.6514990000000003</v>
      </c>
      <c r="F44" s="39">
        <v>98</v>
      </c>
      <c r="G44" s="39">
        <v>1</v>
      </c>
      <c r="H44" s="51">
        <f>IF(C44="BUY",
    (J44*F44) + G44,
    IF(C44="SELL",
        (J44*F44) + G44,
        ""))</f>
        <v>750.846902</v>
      </c>
      <c r="I44" s="38" t="s">
        <v>38</v>
      </c>
      <c r="J44" s="39">
        <f>IF(C44="SELL",
    IF(E44&gt;0, -E44, E44),
    ABS(E44))</f>
        <v>7.6514990000000003</v>
      </c>
      <c r="K44" s="51"/>
      <c r="L44" s="49">
        <f>IF(C44="BUY",
    ROUND(SUMIFS($J:$J, $D:$D, D44, $A:$A, "&lt;="&amp;A44), 4),
    IF(C44="SELL",
        ROUND(SUMIFS($J:$J, $D:$D, D44, $A:$A, "&lt;="&amp;A44), 4),
        ""))</f>
        <v>7.6515000000000004</v>
      </c>
      <c r="M44" s="30" t="s">
        <v>70</v>
      </c>
      <c r="P44" s="25"/>
    </row>
    <row r="45" spans="1:16" x14ac:dyDescent="0.25">
      <c r="A45" s="40">
        <v>45457</v>
      </c>
      <c r="B45" s="38" t="s">
        <v>61</v>
      </c>
      <c r="C45" s="38" t="s">
        <v>56</v>
      </c>
      <c r="D45" s="38" t="s">
        <v>34</v>
      </c>
      <c r="E45" s="41">
        <v>0.572801</v>
      </c>
      <c r="F45" s="39">
        <v>120.22</v>
      </c>
      <c r="G45" s="39">
        <v>1</v>
      </c>
      <c r="H45" s="51">
        <f>IF(C45="BUY",
    (J45*F45) + G45,
    IF(C45="SELL",
        (J45*F45) + G45,
        ""))</f>
        <v>-67.862136219999996</v>
      </c>
      <c r="I45" s="38" t="s">
        <v>38</v>
      </c>
      <c r="J45" s="39">
        <f>IF(C45="SELL",
    IF(E45&gt;0, -E45, E45),
    ABS(E45))</f>
        <v>-0.572801</v>
      </c>
      <c r="K45" s="51">
        <v>3.43</v>
      </c>
      <c r="L45" s="49">
        <f>IF(C45="BUY",
    ROUND(SUMIFS($J:$J, $D:$D, D45, $A:$A, "&lt;="&amp;A45), 4),
    IF(C45="SELL",
        ROUND(SUMIFS($J:$J, $D:$D, D45, $A:$A, "&lt;="&amp;A45), 4),
        ""))</f>
        <v>0</v>
      </c>
      <c r="M45" s="30" t="s">
        <v>70</v>
      </c>
      <c r="P45" s="25"/>
    </row>
    <row r="46" spans="1:16" x14ac:dyDescent="0.25">
      <c r="A46" s="40">
        <v>45457</v>
      </c>
      <c r="B46" s="38" t="s">
        <v>54</v>
      </c>
      <c r="C46" s="38" t="s">
        <v>56</v>
      </c>
      <c r="D46" s="38" t="s">
        <v>47</v>
      </c>
      <c r="E46" s="41">
        <v>7.6514990000000003</v>
      </c>
      <c r="F46" s="39">
        <v>104.45</v>
      </c>
      <c r="G46" s="39">
        <v>1</v>
      </c>
      <c r="H46" s="51">
        <f>IF(C46="BUY",
    (J46*F46) + G46,
    IF(C46="SELL",
        (J46*F46) + G46,
        ""))</f>
        <v>-798.1990705500001</v>
      </c>
      <c r="I46" s="38" t="s">
        <v>38</v>
      </c>
      <c r="J46" s="39">
        <f>IF(C46="SELL",
    IF(E46&gt;0, -E46, E46),
    ABS(E46))</f>
        <v>-7.6514990000000003</v>
      </c>
      <c r="K46" s="51">
        <v>47.35</v>
      </c>
      <c r="L46" s="49">
        <f>IF(C46="BUY",
    ROUND(SUMIFS($J:$J, $D:$D, D46, $A:$A, "&lt;="&amp;A46), 4),
    IF(C46="SELL",
        ROUND(SUMIFS($J:$J, $D:$D, D46, $A:$A, "&lt;="&amp;A46), 4),
        ""))</f>
        <v>0</v>
      </c>
      <c r="M46" s="30" t="s">
        <v>70</v>
      </c>
    </row>
    <row r="47" spans="1:16" x14ac:dyDescent="0.25">
      <c r="A47" s="40">
        <v>45474</v>
      </c>
      <c r="B47" s="38" t="s">
        <v>73</v>
      </c>
      <c r="C47" s="38" t="s">
        <v>74</v>
      </c>
      <c r="H47" s="51">
        <v>0.15</v>
      </c>
      <c r="I47" s="38" t="s">
        <v>38</v>
      </c>
      <c r="K47" s="51">
        <v>0.15</v>
      </c>
      <c r="L47" s="49"/>
      <c r="M47" s="30" t="s">
        <v>71</v>
      </c>
    </row>
    <row r="48" spans="1:16" x14ac:dyDescent="0.25">
      <c r="A48" s="40">
        <v>45474</v>
      </c>
      <c r="B48" s="38" t="s">
        <v>73</v>
      </c>
      <c r="C48" s="38" t="s">
        <v>74</v>
      </c>
      <c r="H48" s="51">
        <v>20.86</v>
      </c>
      <c r="I48" s="38" t="s">
        <v>41</v>
      </c>
      <c r="K48" s="51">
        <v>20.86</v>
      </c>
      <c r="L48" s="49"/>
      <c r="M48" s="30" t="s">
        <v>71</v>
      </c>
    </row>
    <row r="49" spans="1:13" x14ac:dyDescent="0.25">
      <c r="A49" s="40">
        <v>45474</v>
      </c>
      <c r="B49" s="38" t="s">
        <v>73</v>
      </c>
      <c r="C49" s="38" t="s">
        <v>74</v>
      </c>
      <c r="D49" s="30"/>
      <c r="H49" s="51">
        <v>39.26</v>
      </c>
      <c r="I49" s="38" t="s">
        <v>38</v>
      </c>
      <c r="K49" s="51">
        <v>39.26</v>
      </c>
      <c r="L49" s="49"/>
      <c r="M49" s="30" t="s">
        <v>70</v>
      </c>
    </row>
    <row r="50" spans="1:13" x14ac:dyDescent="0.25">
      <c r="A50" s="40">
        <v>45475</v>
      </c>
      <c r="B50" s="38" t="s">
        <v>61</v>
      </c>
      <c r="C50" s="38" t="s">
        <v>55</v>
      </c>
      <c r="D50" s="38" t="s">
        <v>48</v>
      </c>
      <c r="E50" s="41">
        <v>1.3331630000000001</v>
      </c>
      <c r="F50" s="39">
        <v>4.7106000000000003</v>
      </c>
      <c r="G50" s="39">
        <v>0</v>
      </c>
      <c r="H50" s="51">
        <f>IF(C50="BUY",
    (J50*F50) + G50,
    IF(C50="SELL",
        (J50*F50) + G50,
        ""))</f>
        <v>6.2799976278000011</v>
      </c>
      <c r="I50" s="38" t="s">
        <v>38</v>
      </c>
      <c r="J50" s="39">
        <f>IF(C50="SELL",
    IF(E50&gt;0, -E50, E50),
    ABS(E50))</f>
        <v>1.3331630000000001</v>
      </c>
      <c r="K50" s="51"/>
      <c r="L50" s="49">
        <f>IF(C50="BUY",
    ROUND(SUMIFS($J:$J, $D:$D, D50, $A:$A, "&lt;="&amp;A50), 4),
    IF(C50="SELL",
        ROUND(SUMIFS($J:$J, $D:$D, D50, $A:$A, "&lt;="&amp;A50), 4),
        ""))</f>
        <v>11.9475</v>
      </c>
      <c r="M50" s="30" t="s">
        <v>70</v>
      </c>
    </row>
    <row r="51" spans="1:13" x14ac:dyDescent="0.25">
      <c r="A51" s="40">
        <v>45475</v>
      </c>
      <c r="B51" s="38" t="s">
        <v>61</v>
      </c>
      <c r="C51" s="38" t="s">
        <v>55</v>
      </c>
      <c r="D51" s="38" t="s">
        <v>48</v>
      </c>
      <c r="E51" s="41">
        <v>10.614359</v>
      </c>
      <c r="F51" s="39">
        <v>4.7106000000000003</v>
      </c>
      <c r="G51" s="39">
        <v>0</v>
      </c>
      <c r="H51" s="51">
        <f>IF(C51="BUY",
    (J51*F51) + G51,
    IF(C51="SELL",
        (J51*F51) + G51,
        ""))</f>
        <v>49.999999505400005</v>
      </c>
      <c r="I51" s="38" t="s">
        <v>38</v>
      </c>
      <c r="J51" s="39">
        <f>IF(C51="SELL",
    IF(E51&gt;0, -E51, E51),
    ABS(E51))</f>
        <v>10.614359</v>
      </c>
      <c r="K51" s="51"/>
      <c r="L51" s="49">
        <f>IF(C51="BUY",
    ROUND(SUMIFS($J:$J, $D:$D, D51, $A:$A, "&lt;="&amp;A51), 4),
    IF(C51="SELL",
        ROUND(SUMIFS($J:$J, $D:$D, D51, $A:$A, "&lt;="&amp;A51), 4),
        ""))</f>
        <v>11.9475</v>
      </c>
      <c r="M51" s="30" t="s">
        <v>70</v>
      </c>
    </row>
    <row r="52" spans="1:13" x14ac:dyDescent="0.25">
      <c r="A52" s="40">
        <v>45505</v>
      </c>
      <c r="B52" s="38" t="s">
        <v>73</v>
      </c>
      <c r="C52" s="38" t="s">
        <v>74</v>
      </c>
      <c r="H52" s="51">
        <v>21.64</v>
      </c>
      <c r="I52" s="38" t="s">
        <v>41</v>
      </c>
      <c r="K52" s="51">
        <v>21.64</v>
      </c>
      <c r="L52" s="49"/>
      <c r="M52" s="30" t="s">
        <v>71</v>
      </c>
    </row>
    <row r="53" spans="1:13" x14ac:dyDescent="0.25">
      <c r="A53" s="40">
        <v>45505</v>
      </c>
      <c r="B53" s="38" t="s">
        <v>73</v>
      </c>
      <c r="C53" s="38" t="s">
        <v>74</v>
      </c>
      <c r="D53" s="30"/>
      <c r="H53" s="51">
        <v>42.12</v>
      </c>
      <c r="I53" s="38" t="s">
        <v>38</v>
      </c>
      <c r="K53" s="51">
        <v>42.12</v>
      </c>
      <c r="L53" s="49"/>
      <c r="M53" s="30" t="s">
        <v>70</v>
      </c>
    </row>
    <row r="54" spans="1:13" x14ac:dyDescent="0.25">
      <c r="A54" s="40">
        <v>45506</v>
      </c>
      <c r="B54" s="38" t="s">
        <v>61</v>
      </c>
      <c r="C54" s="38" t="s">
        <v>55</v>
      </c>
      <c r="D54" s="38" t="s">
        <v>48</v>
      </c>
      <c r="E54" s="41">
        <v>3.2232409999999998</v>
      </c>
      <c r="F54" s="39">
        <v>4.6536999999999997</v>
      </c>
      <c r="G54" s="39">
        <v>0</v>
      </c>
      <c r="H54" s="51">
        <f>IF(C54="BUY",
    (J54*F54) + G54,
    IF(C54="SELL",
        (J54*F54) + G54,
        ""))</f>
        <v>14.999996641699997</v>
      </c>
      <c r="I54" s="38" t="s">
        <v>38</v>
      </c>
      <c r="J54" s="39">
        <f>IF(C54="SELL",
    IF(E54&gt;0, -E54, E54),
    ABS(E54))</f>
        <v>3.2232409999999998</v>
      </c>
      <c r="K54" s="51"/>
      <c r="L54" s="49">
        <f>IF(C54="BUY",
    ROUND(SUMIFS($J:$J, $D:$D, D54, $A:$A, "&lt;="&amp;A54), 4),
    IF(C54="SELL",
        ROUND(SUMIFS($J:$J, $D:$D, D54, $A:$A, "&lt;="&amp;A54), 4),
        ""))</f>
        <v>25.914899999999999</v>
      </c>
      <c r="M54" s="30" t="s">
        <v>70</v>
      </c>
    </row>
    <row r="55" spans="1:13" x14ac:dyDescent="0.25">
      <c r="A55" s="40">
        <v>45506</v>
      </c>
      <c r="B55" s="38" t="s">
        <v>61</v>
      </c>
      <c r="C55" s="38" t="s">
        <v>55</v>
      </c>
      <c r="D55" s="38" t="s">
        <v>48</v>
      </c>
      <c r="E55" s="41">
        <v>10.744139000000001</v>
      </c>
      <c r="F55" s="39">
        <v>4.6536999999999997</v>
      </c>
      <c r="G55" s="39">
        <v>0</v>
      </c>
      <c r="H55" s="51">
        <f>IF(C55="BUY",
    (J55*F55) + G55,
    IF(C55="SELL",
        (J55*F55) + G55,
        ""))</f>
        <v>49.999999664299999</v>
      </c>
      <c r="I55" s="38" t="s">
        <v>38</v>
      </c>
      <c r="J55" s="39">
        <f>IF(C55="SELL",
    IF(E55&gt;0, -E55, E55),
    ABS(E55))</f>
        <v>10.744139000000001</v>
      </c>
      <c r="K55" s="51"/>
      <c r="L55" s="49">
        <f>IF(C55="BUY",
    ROUND(SUMIFS($J:$J, $D:$D, D55, $A:$A, "&lt;="&amp;A55), 4),
    IF(C55="SELL",
        ROUND(SUMIFS($J:$J, $D:$D, D55, $A:$A, "&lt;="&amp;A55), 4),
        ""))</f>
        <v>25.914899999999999</v>
      </c>
      <c r="M55" s="30" t="s">
        <v>70</v>
      </c>
    </row>
    <row r="56" spans="1:13" x14ac:dyDescent="0.25">
      <c r="A56" s="40">
        <v>45536</v>
      </c>
      <c r="B56" s="38" t="s">
        <v>73</v>
      </c>
      <c r="C56" s="38" t="s">
        <v>74</v>
      </c>
      <c r="H56" s="51">
        <v>21.72</v>
      </c>
      <c r="I56" s="38" t="s">
        <v>41</v>
      </c>
      <c r="K56" s="51">
        <v>21.72</v>
      </c>
      <c r="L56" s="49"/>
      <c r="M56" s="30" t="s">
        <v>71</v>
      </c>
    </row>
    <row r="57" spans="1:13" x14ac:dyDescent="0.25">
      <c r="A57" s="40">
        <v>45536</v>
      </c>
      <c r="B57" s="38" t="s">
        <v>73</v>
      </c>
      <c r="C57" s="38" t="s">
        <v>74</v>
      </c>
      <c r="D57" s="30"/>
      <c r="H57" s="51">
        <v>43.68</v>
      </c>
      <c r="I57" s="38" t="s">
        <v>38</v>
      </c>
      <c r="K57" s="51">
        <v>43.68</v>
      </c>
      <c r="L57" s="49"/>
      <c r="M57" s="30" t="s">
        <v>70</v>
      </c>
    </row>
    <row r="58" spans="1:13" x14ac:dyDescent="0.25">
      <c r="A58" s="40">
        <v>45537</v>
      </c>
      <c r="B58" s="38" t="s">
        <v>61</v>
      </c>
      <c r="C58" s="38" t="s">
        <v>55</v>
      </c>
      <c r="D58" s="38" t="s">
        <v>48</v>
      </c>
      <c r="E58" s="41">
        <v>3.254572</v>
      </c>
      <c r="F58" s="39">
        <v>4.6089000000000002</v>
      </c>
      <c r="G58" s="39">
        <v>0</v>
      </c>
      <c r="H58" s="51">
        <f>IF(C58="BUY",
    (J58*F58) + G58,
    IF(C58="SELL",
        (J58*F58) + G58,
        ""))</f>
        <v>14.9999968908</v>
      </c>
      <c r="I58" s="38" t="s">
        <v>38</v>
      </c>
      <c r="J58" s="39">
        <f>IF(C58="SELL",
    IF(E58&gt;0, -E58, E58),
    ABS(E58))</f>
        <v>3.254572</v>
      </c>
      <c r="K58" s="51"/>
      <c r="L58" s="49">
        <f>IF(C58="BUY",
    ROUND(SUMIFS($J:$J, $D:$D, D58, $A:$A, "&lt;="&amp;A58), 4),
    IF(C58="SELL",
        ROUND(SUMIFS($J:$J, $D:$D, D58, $A:$A, "&lt;="&amp;A58), 4),
        ""))</f>
        <v>40.018000000000001</v>
      </c>
      <c r="M58" s="30" t="s">
        <v>70</v>
      </c>
    </row>
    <row r="59" spans="1:13" x14ac:dyDescent="0.25">
      <c r="A59" s="40">
        <v>45537</v>
      </c>
      <c r="B59" s="38" t="s">
        <v>61</v>
      </c>
      <c r="C59" s="38" t="s">
        <v>55</v>
      </c>
      <c r="D59" s="38" t="s">
        <v>48</v>
      </c>
      <c r="E59" s="41">
        <v>10.848575</v>
      </c>
      <c r="F59" s="39">
        <v>4.6089000000000002</v>
      </c>
      <c r="G59" s="39">
        <v>0</v>
      </c>
      <c r="H59" s="51">
        <f>IF(C59="BUY",
    (J59*F59) + G59,
    IF(C59="SELL",
        (J59*F59) + G59,
        ""))</f>
        <v>49.999997317500004</v>
      </c>
      <c r="I59" s="38" t="s">
        <v>38</v>
      </c>
      <c r="J59" s="39">
        <f>IF(C59="SELL",
    IF(E59&gt;0, -E59, E59),
    ABS(E59))</f>
        <v>10.848575</v>
      </c>
      <c r="K59" s="51"/>
      <c r="L59" s="49">
        <f>IF(C59="BUY",
    ROUND(SUMIFS($J:$J, $D:$D, D59, $A:$A, "&lt;="&amp;A59), 4),
    IF(C59="SELL",
        ROUND(SUMIFS($J:$J, $D:$D, D59, $A:$A, "&lt;="&amp;A59), 4),
        ""))</f>
        <v>40.018000000000001</v>
      </c>
      <c r="M59" s="30" t="s">
        <v>70</v>
      </c>
    </row>
    <row r="60" spans="1:13" x14ac:dyDescent="0.25">
      <c r="A60" s="40">
        <v>45566</v>
      </c>
      <c r="B60" s="38" t="s">
        <v>73</v>
      </c>
      <c r="C60" s="38" t="s">
        <v>74</v>
      </c>
      <c r="H60" s="51">
        <v>20.16</v>
      </c>
      <c r="I60" s="38" t="s">
        <v>41</v>
      </c>
      <c r="K60" s="51">
        <v>20.16</v>
      </c>
      <c r="L60" s="49"/>
      <c r="M60" s="30" t="s">
        <v>71</v>
      </c>
    </row>
    <row r="61" spans="1:13" x14ac:dyDescent="0.25">
      <c r="A61" s="40">
        <v>45566</v>
      </c>
      <c r="B61" s="38" t="s">
        <v>73</v>
      </c>
      <c r="C61" s="38" t="s">
        <v>74</v>
      </c>
      <c r="D61" s="30"/>
      <c r="H61" s="51">
        <v>48.1</v>
      </c>
      <c r="I61" s="38" t="s">
        <v>38</v>
      </c>
      <c r="K61" s="51">
        <v>48.1</v>
      </c>
      <c r="L61" s="49"/>
      <c r="M61" s="30" t="s">
        <v>70</v>
      </c>
    </row>
    <row r="62" spans="1:13" x14ac:dyDescent="0.25">
      <c r="A62" s="40">
        <v>45567</v>
      </c>
      <c r="B62" s="38" t="s">
        <v>61</v>
      </c>
      <c r="C62" s="38" t="s">
        <v>55</v>
      </c>
      <c r="D62" s="38" t="s">
        <v>62</v>
      </c>
      <c r="E62" s="41">
        <v>0.60580800000000001</v>
      </c>
      <c r="F62" s="39">
        <v>18.042000000000002</v>
      </c>
      <c r="G62" s="39">
        <v>0</v>
      </c>
      <c r="H62" s="51">
        <f>IF(C62="BUY",
    (J62*F62) + G62,
    IF(C62="SELL",
        (J62*F62) + G62,
        ""))</f>
        <v>10.929987936000002</v>
      </c>
      <c r="I62" s="38" t="s">
        <v>38</v>
      </c>
      <c r="J62" s="39">
        <f>IF(C62="SELL",
    IF(E62&gt;0, -E62, E62),
    ABS(E62))</f>
        <v>0.60580800000000001</v>
      </c>
      <c r="K62" s="51"/>
      <c r="L62" s="49">
        <f>IF(C62="BUY",
    ROUND(SUMIFS($J:$J, $D:$D, D62, $A:$A, "&lt;="&amp;A62), 4),
    IF(C62="SELL",
        ROUND(SUMIFS($J:$J, $D:$D, D62, $A:$A, "&lt;="&amp;A62), 4),
        ""))</f>
        <v>6.1483999999999996</v>
      </c>
      <c r="M62" s="30" t="s">
        <v>70</v>
      </c>
    </row>
    <row r="63" spans="1:13" x14ac:dyDescent="0.25">
      <c r="A63" s="40">
        <v>45567</v>
      </c>
      <c r="B63" s="38" t="s">
        <v>61</v>
      </c>
      <c r="C63" s="38" t="s">
        <v>55</v>
      </c>
      <c r="D63" s="38" t="s">
        <v>62</v>
      </c>
      <c r="E63" s="41">
        <v>5.5426219999999997</v>
      </c>
      <c r="F63" s="39">
        <v>18.042000000000002</v>
      </c>
      <c r="G63" s="39">
        <v>0</v>
      </c>
      <c r="H63" s="51">
        <f>IF(C63="BUY",
    (J63*F63) + G63,
    IF(C63="SELL",
        (J63*F63) + G63,
        ""))</f>
        <v>99.999986124000003</v>
      </c>
      <c r="I63" s="38" t="s">
        <v>38</v>
      </c>
      <c r="J63" s="39">
        <f>IF(C63="SELL",
    IF(E63&gt;0, -E63, E63),
    ABS(E63))</f>
        <v>5.5426219999999997</v>
      </c>
      <c r="K63" s="51"/>
      <c r="L63" s="49">
        <f>IF(C63="BUY",
    ROUND(SUMIFS($J:$J, $D:$D, D63, $A:$A, "&lt;="&amp;A63), 4),
    IF(C63="SELL",
        ROUND(SUMIFS($J:$J, $D:$D, D63, $A:$A, "&lt;="&amp;A63), 4),
        ""))</f>
        <v>6.1483999999999996</v>
      </c>
      <c r="M63" s="30" t="s">
        <v>70</v>
      </c>
    </row>
    <row r="64" spans="1:13" x14ac:dyDescent="0.25">
      <c r="A64" s="40">
        <v>45597</v>
      </c>
      <c r="B64" s="38" t="s">
        <v>73</v>
      </c>
      <c r="C64" s="38" t="s">
        <v>74</v>
      </c>
      <c r="H64" s="51">
        <v>19.45</v>
      </c>
      <c r="I64" s="38" t="s">
        <v>41</v>
      </c>
      <c r="K64" s="51">
        <v>19.45</v>
      </c>
      <c r="L64" s="49"/>
      <c r="M64" s="30" t="s">
        <v>71</v>
      </c>
    </row>
    <row r="65" spans="1:13" x14ac:dyDescent="0.25">
      <c r="A65" s="40">
        <v>45597</v>
      </c>
      <c r="B65" s="38" t="s">
        <v>73</v>
      </c>
      <c r="C65" s="38" t="s">
        <v>74</v>
      </c>
      <c r="D65" s="30"/>
      <c r="H65" s="51">
        <v>50.05</v>
      </c>
      <c r="I65" s="38" t="s">
        <v>38</v>
      </c>
      <c r="K65" s="51">
        <v>50.05</v>
      </c>
      <c r="L65" s="49"/>
      <c r="M65" s="30" t="s">
        <v>70</v>
      </c>
    </row>
    <row r="66" spans="1:13" x14ac:dyDescent="0.25">
      <c r="A66" s="40">
        <v>45600</v>
      </c>
      <c r="B66" s="38" t="s">
        <v>61</v>
      </c>
      <c r="C66" s="38" t="s">
        <v>55</v>
      </c>
      <c r="D66" s="38" t="s">
        <v>10</v>
      </c>
      <c r="E66" s="41">
        <v>2.6901000000000002</v>
      </c>
      <c r="F66" s="39">
        <v>6.0701000000000001</v>
      </c>
      <c r="G66" s="39">
        <v>0</v>
      </c>
      <c r="H66" s="51">
        <f>IF(C66="BUY",
    (J66*F66) + G66,
    IF(C66="SELL",
        (J66*F66) + G66,
        ""))</f>
        <v>16.329176010000001</v>
      </c>
      <c r="I66" s="38" t="s">
        <v>38</v>
      </c>
      <c r="J66" s="39">
        <f>IF(C66="SELL",
    IF(E66&gt;0, -E66, E66),
    ABS(E66))</f>
        <v>2.6901000000000002</v>
      </c>
      <c r="K66" s="51"/>
      <c r="L66" s="49">
        <f>IF(C66="BUY",
    ROUND(SUMIFS($J:$J, $D:$D, D66, $A:$A, "&lt;="&amp;A66), 4),
    IF(C66="SELL",
        ROUND(SUMIFS($J:$J, $D:$D, D66, $A:$A, "&lt;="&amp;A66), 4),
        ""))</f>
        <v>20.624099999999999</v>
      </c>
      <c r="M66" s="30" t="s">
        <v>70</v>
      </c>
    </row>
    <row r="67" spans="1:13" x14ac:dyDescent="0.25">
      <c r="A67" s="40">
        <v>45600</v>
      </c>
      <c r="B67" s="38" t="s">
        <v>61</v>
      </c>
      <c r="C67" s="38" t="s">
        <v>55</v>
      </c>
      <c r="D67" s="38" t="s">
        <v>10</v>
      </c>
      <c r="E67" s="41">
        <v>17.934002</v>
      </c>
      <c r="F67" s="39">
        <v>6.0701000000000001</v>
      </c>
      <c r="G67" s="39">
        <v>0</v>
      </c>
      <c r="H67" s="51">
        <f>IF(C67="BUY",
    (J67*F67) + G67,
    IF(C67="SELL",
        (J67*F67) + G67,
        ""))</f>
        <v>108.8611855402</v>
      </c>
      <c r="I67" s="38" t="s">
        <v>38</v>
      </c>
      <c r="J67" s="39">
        <f>IF(C67="SELL",
    IF(E67&gt;0, -E67, E67),
    ABS(E67))</f>
        <v>17.934002</v>
      </c>
      <c r="K67" s="51"/>
      <c r="L67" s="49">
        <f>IF(C67="BUY",
    ROUND(SUMIFS($J:$J, $D:$D, D67, $A:$A, "&lt;="&amp;A67), 4),
    IF(C67="SELL",
        ROUND(SUMIFS($J:$J, $D:$D, D67, $A:$A, "&lt;="&amp;A67), 4),
        ""))</f>
        <v>20.624099999999999</v>
      </c>
      <c r="M67" s="30" t="s">
        <v>70</v>
      </c>
    </row>
    <row r="68" spans="1:13" x14ac:dyDescent="0.25">
      <c r="A68" s="40">
        <v>45623</v>
      </c>
      <c r="B68" s="38" t="s">
        <v>72</v>
      </c>
      <c r="C68" s="38" t="s">
        <v>72</v>
      </c>
      <c r="D68" s="38" t="s">
        <v>48</v>
      </c>
      <c r="H68" s="51">
        <v>5.83</v>
      </c>
      <c r="I68" s="38" t="s">
        <v>38</v>
      </c>
      <c r="K68" s="51">
        <v>5.83</v>
      </c>
      <c r="L68" s="49"/>
      <c r="M68" s="30" t="s">
        <v>70</v>
      </c>
    </row>
    <row r="69" spans="1:13" x14ac:dyDescent="0.25">
      <c r="A69" s="40">
        <v>45627</v>
      </c>
      <c r="B69" s="38" t="s">
        <v>73</v>
      </c>
      <c r="C69" s="38" t="s">
        <v>74</v>
      </c>
      <c r="H69" s="51">
        <v>17.98</v>
      </c>
      <c r="I69" s="38" t="s">
        <v>41</v>
      </c>
      <c r="K69" s="51">
        <v>17.98</v>
      </c>
      <c r="L69" s="49"/>
      <c r="M69" s="30" t="s">
        <v>71</v>
      </c>
    </row>
    <row r="70" spans="1:13" x14ac:dyDescent="0.25">
      <c r="A70" s="40">
        <v>45627</v>
      </c>
      <c r="B70" s="38" t="s">
        <v>73</v>
      </c>
      <c r="C70" s="38" t="s">
        <v>74</v>
      </c>
      <c r="D70" s="30"/>
      <c r="H70" s="51">
        <v>50.38</v>
      </c>
      <c r="I70" s="38" t="s">
        <v>38</v>
      </c>
      <c r="K70" s="51">
        <v>50.38</v>
      </c>
      <c r="L70" s="49"/>
      <c r="M70" s="30" t="s">
        <v>70</v>
      </c>
    </row>
    <row r="71" spans="1:13" x14ac:dyDescent="0.25">
      <c r="A71" s="40">
        <v>45628</v>
      </c>
      <c r="B71" s="38" t="s">
        <v>61</v>
      </c>
      <c r="C71" s="38" t="s">
        <v>55</v>
      </c>
      <c r="D71" s="38" t="s">
        <v>10</v>
      </c>
      <c r="E71" s="41">
        <v>2.0589240000000002</v>
      </c>
      <c r="F71" s="39">
        <v>6.0960999999999999</v>
      </c>
      <c r="G71" s="39">
        <v>0</v>
      </c>
      <c r="H71" s="51">
        <f>IF(C71="BUY",
    (J71*F71) + G71,
    IF(C71="SELL",
        (J71*F71) + G71,
        ""))</f>
        <v>12.551406596400001</v>
      </c>
      <c r="I71" s="38" t="s">
        <v>38</v>
      </c>
      <c r="J71" s="39">
        <f>IF(C71="SELL",
    IF(E71&gt;0, -E71, E71),
    ABS(E71))</f>
        <v>2.0589240000000002</v>
      </c>
      <c r="K71" s="51"/>
      <c r="L71" s="49">
        <f>IF(C71="BUY",
    ROUND(SUMIFS($J:$J, $D:$D, D71, $A:$A, "&lt;="&amp;A71), 4),
    IF(C71="SELL",
        ROUND(SUMIFS($J:$J, $D:$D, D71, $A:$A, "&lt;="&amp;A71), 4),
        ""))</f>
        <v>39.912500000000001</v>
      </c>
      <c r="M71" s="30" t="s">
        <v>70</v>
      </c>
    </row>
    <row r="72" spans="1:13" x14ac:dyDescent="0.25">
      <c r="A72" s="40">
        <v>45628</v>
      </c>
      <c r="B72" s="38" t="s">
        <v>61</v>
      </c>
      <c r="C72" s="38" t="s">
        <v>55</v>
      </c>
      <c r="D72" s="38" t="s">
        <v>10</v>
      </c>
      <c r="E72" s="41">
        <v>17.229496000000001</v>
      </c>
      <c r="F72" s="39">
        <v>6.0960999999999999</v>
      </c>
      <c r="G72" s="39">
        <v>0</v>
      </c>
      <c r="H72" s="51">
        <f>IF(C72="BUY",
    (J72*F72) + G72,
    IF(C72="SELL",
        (J72*F72) + G72,
        ""))</f>
        <v>105.0327305656</v>
      </c>
      <c r="I72" s="38" t="s">
        <v>38</v>
      </c>
      <c r="J72" s="39">
        <f>IF(C72="SELL",
    IF(E72&gt;0, -E72, E72),
    ABS(E72))</f>
        <v>17.229496000000001</v>
      </c>
      <c r="K72" s="51"/>
      <c r="L72" s="49">
        <f>IF(C72="BUY",
    ROUND(SUMIFS($J:$J, $D:$D, D72, $A:$A, "&lt;="&amp;A72), 4),
    IF(C72="SELL",
        ROUND(SUMIFS($J:$J, $D:$D, D72, $A:$A, "&lt;="&amp;A72), 4),
        ""))</f>
        <v>39.912500000000001</v>
      </c>
      <c r="M72" s="30" t="s">
        <v>70</v>
      </c>
    </row>
    <row r="73" spans="1:13" x14ac:dyDescent="0.25">
      <c r="A73" s="40">
        <v>45653</v>
      </c>
      <c r="B73" s="38" t="s">
        <v>72</v>
      </c>
      <c r="C73" s="38" t="s">
        <v>72</v>
      </c>
      <c r="D73" s="38" t="s">
        <v>62</v>
      </c>
      <c r="H73" s="51">
        <v>0.38</v>
      </c>
      <c r="I73" s="38" t="s">
        <v>38</v>
      </c>
      <c r="K73" s="51">
        <v>0.38</v>
      </c>
      <c r="L73" s="49"/>
      <c r="M73" s="30" t="s">
        <v>70</v>
      </c>
    </row>
    <row r="74" spans="1:13" x14ac:dyDescent="0.25">
      <c r="A74" s="40">
        <v>45658</v>
      </c>
      <c r="B74" s="38" t="s">
        <v>73</v>
      </c>
      <c r="C74" s="38" t="s">
        <v>74</v>
      </c>
      <c r="H74" s="51">
        <v>17.84</v>
      </c>
      <c r="I74" s="38" t="s">
        <v>41</v>
      </c>
      <c r="K74" s="51">
        <v>17.84</v>
      </c>
      <c r="L74" s="49"/>
      <c r="M74" s="30" t="s">
        <v>71</v>
      </c>
    </row>
    <row r="75" spans="1:13" x14ac:dyDescent="0.25">
      <c r="A75" s="40">
        <v>45658</v>
      </c>
      <c r="B75" s="38" t="s">
        <v>73</v>
      </c>
      <c r="C75" s="38" t="s">
        <v>74</v>
      </c>
      <c r="D75" s="30"/>
      <c r="H75" s="51">
        <v>48.76</v>
      </c>
      <c r="I75" s="38" t="s">
        <v>38</v>
      </c>
      <c r="K75" s="51">
        <v>48.76</v>
      </c>
      <c r="L75" s="49"/>
      <c r="M75" s="30" t="s">
        <v>70</v>
      </c>
    </row>
    <row r="76" spans="1:13" x14ac:dyDescent="0.25">
      <c r="A76" s="40">
        <v>45659</v>
      </c>
      <c r="B76" s="38" t="s">
        <v>61</v>
      </c>
      <c r="C76" s="38" t="s">
        <v>55</v>
      </c>
      <c r="D76" s="38" t="s">
        <v>10</v>
      </c>
      <c r="E76" s="41">
        <v>0.29073599999999999</v>
      </c>
      <c r="F76" s="39">
        <v>6.1250999999999998</v>
      </c>
      <c r="G76" s="39">
        <v>0</v>
      </c>
      <c r="H76" s="51">
        <f>IF(C76="BUY",
    (J76*F76) + G76,
    IF(C76="SELL",
        (J76*F76) + G76,
        ""))</f>
        <v>1.7807870736</v>
      </c>
      <c r="I76" s="38" t="s">
        <v>38</v>
      </c>
      <c r="J76" s="39">
        <f>IF(C76="SELL",
    IF(E76&gt;0, -E76, E76),
    ABS(E76))</f>
        <v>0.29073599999999999</v>
      </c>
      <c r="K76" s="51"/>
      <c r="L76" s="49">
        <f>IF(C76="BUY",
    ROUND(SUMIFS($J:$J, $D:$D, D76, $A:$A, "&lt;="&amp;A76), 4),
    IF(C76="SELL",
        ROUND(SUMIFS($J:$J, $D:$D, D76, $A:$A, "&lt;="&amp;A76), 4),
        ""))</f>
        <v>57.1066</v>
      </c>
      <c r="M76" s="30" t="s">
        <v>70</v>
      </c>
    </row>
    <row r="77" spans="1:13" x14ac:dyDescent="0.25">
      <c r="A77" s="40">
        <v>45659</v>
      </c>
      <c r="B77" s="38" t="s">
        <v>61</v>
      </c>
      <c r="C77" s="38" t="s">
        <v>55</v>
      </c>
      <c r="D77" s="38" t="s">
        <v>10</v>
      </c>
      <c r="E77" s="41">
        <v>16.903313000000001</v>
      </c>
      <c r="F77" s="39">
        <v>6.1250999999999998</v>
      </c>
      <c r="G77" s="39">
        <v>0</v>
      </c>
      <c r="H77" s="51">
        <f>IF(C77="BUY",
    (J77*F77) + G77,
    IF(C77="SELL",
        (J77*F77) + G77,
        ""))</f>
        <v>103.5344824563</v>
      </c>
      <c r="I77" s="38" t="s">
        <v>38</v>
      </c>
      <c r="J77" s="39">
        <f>IF(C77="SELL",
    IF(E77&gt;0, -E77, E77),
    ABS(E77))</f>
        <v>16.903313000000001</v>
      </c>
      <c r="K77" s="51"/>
      <c r="L77" s="49"/>
      <c r="M77" s="30" t="s">
        <v>70</v>
      </c>
    </row>
    <row r="78" spans="1:13" x14ac:dyDescent="0.25">
      <c r="A78" s="40">
        <v>45673</v>
      </c>
      <c r="B78" s="38" t="s">
        <v>61</v>
      </c>
      <c r="C78" s="38" t="s">
        <v>56</v>
      </c>
      <c r="D78" s="38" t="s">
        <v>48</v>
      </c>
      <c r="E78" s="41">
        <v>40.018048999999998</v>
      </c>
      <c r="F78" s="39">
        <v>4.8613999999999997</v>
      </c>
      <c r="G78" s="39">
        <v>1</v>
      </c>
      <c r="H78" s="51">
        <f>IF(C78="BUY",
    (J78*F78) + G78,
    IF(C78="SELL",
        (J78*F78) + G78,
        ""))</f>
        <v>-193.54374340859997</v>
      </c>
      <c r="I78" s="38" t="s">
        <v>38</v>
      </c>
      <c r="J78" s="39">
        <f>IF(C78="SELL",
    IF(E78&gt;0, -E78, E78),
    ABS(E78))</f>
        <v>-40.018048999999998</v>
      </c>
      <c r="K78" s="51">
        <v>7.26</v>
      </c>
      <c r="L78" s="49">
        <f t="shared" ref="L78:L86" si="3">IF(C78="BUY",
    ROUND(SUMIFS($J:$J, $D:$D, D78, $A:$A, "&lt;="&amp;A78), 4),
    IF(C78="SELL",
        ROUND(SUMIFS($J:$J, $D:$D, D78, $A:$A, "&lt;="&amp;A78), 4),
        ""))</f>
        <v>0</v>
      </c>
      <c r="M78" s="30" t="s">
        <v>70</v>
      </c>
    </row>
    <row r="79" spans="1:13" x14ac:dyDescent="0.25">
      <c r="A79" s="40">
        <v>45673</v>
      </c>
      <c r="B79" s="38" t="s">
        <v>61</v>
      </c>
      <c r="C79" s="38" t="s">
        <v>56</v>
      </c>
      <c r="D79" s="38" t="s">
        <v>62</v>
      </c>
      <c r="E79" s="41">
        <v>6.1484300000000003</v>
      </c>
      <c r="F79" s="39">
        <v>18.096</v>
      </c>
      <c r="G79" s="39">
        <v>1</v>
      </c>
      <c r="H79" s="51">
        <f>IF(C79="BUY",
    (J79*F79) + G79,
    IF(C79="SELL",
        (J79*F79) + G79,
        ""))</f>
        <v>-110.26198928000001</v>
      </c>
      <c r="I79" s="38" t="s">
        <v>38</v>
      </c>
      <c r="J79" s="39">
        <f>IF(C79="SELL",
    IF(E79&gt;0, -E79, E79),
    ABS(E79))</f>
        <v>-6.1484300000000003</v>
      </c>
      <c r="K79" s="51">
        <v>-0.67</v>
      </c>
      <c r="L79" s="49">
        <f t="shared" si="3"/>
        <v>0</v>
      </c>
      <c r="M79" s="30" t="s">
        <v>70</v>
      </c>
    </row>
    <row r="80" spans="1:13" x14ac:dyDescent="0.25">
      <c r="A80" s="40">
        <v>45689</v>
      </c>
      <c r="B80" s="38" t="s">
        <v>73</v>
      </c>
      <c r="C80" s="38" t="s">
        <v>74</v>
      </c>
      <c r="H80" s="51">
        <v>43.38</v>
      </c>
      <c r="I80" s="38" t="s">
        <v>38</v>
      </c>
      <c r="K80" s="51">
        <v>43.38</v>
      </c>
      <c r="L80" s="49" t="str">
        <f t="shared" si="3"/>
        <v/>
      </c>
      <c r="M80" s="30" t="s">
        <v>70</v>
      </c>
    </row>
    <row r="81" spans="1:13" x14ac:dyDescent="0.25">
      <c r="A81" s="40">
        <v>45689</v>
      </c>
      <c r="B81" s="38" t="s">
        <v>73</v>
      </c>
      <c r="C81" s="38" t="s">
        <v>74</v>
      </c>
      <c r="H81" s="51">
        <v>17.18</v>
      </c>
      <c r="I81" s="38" t="s">
        <v>41</v>
      </c>
      <c r="K81" s="51">
        <v>17.18</v>
      </c>
      <c r="L81" s="49" t="str">
        <f t="shared" si="3"/>
        <v/>
      </c>
      <c r="M81" s="30" t="s">
        <v>71</v>
      </c>
    </row>
    <row r="82" spans="1:13" x14ac:dyDescent="0.25">
      <c r="A82" s="40">
        <v>45691</v>
      </c>
      <c r="B82" s="38" t="s">
        <v>61</v>
      </c>
      <c r="C82" s="38" t="s">
        <v>55</v>
      </c>
      <c r="D82" s="38" t="s">
        <v>10</v>
      </c>
      <c r="E82" s="41">
        <v>2.4975019999999999</v>
      </c>
      <c r="F82" s="39">
        <v>6.0060000000000002</v>
      </c>
      <c r="G82" s="39">
        <v>0</v>
      </c>
      <c r="H82" s="51">
        <f>IF(C82="BUY",
    (J82*F82) + G82,
    IF(C82="SELL",
        (J82*F82) + G82,
        ""))</f>
        <v>14.999997012</v>
      </c>
      <c r="I82" s="38" t="s">
        <v>38</v>
      </c>
      <c r="J82" s="39">
        <f t="shared" ref="J82:J113" si="4">IF(C82="SELL",
    IF(E82&gt;0, -E82, E82),
    ABS(E82))</f>
        <v>2.4975019999999999</v>
      </c>
      <c r="K82" s="51"/>
      <c r="L82" s="49">
        <f t="shared" si="3"/>
        <v>126.2041</v>
      </c>
      <c r="M82" s="30" t="s">
        <v>70</v>
      </c>
    </row>
    <row r="83" spans="1:13" x14ac:dyDescent="0.25">
      <c r="A83" s="40">
        <v>45691</v>
      </c>
      <c r="B83" s="38" t="s">
        <v>61</v>
      </c>
      <c r="C83" s="38" t="s">
        <v>55</v>
      </c>
      <c r="D83" s="38" t="s">
        <v>10</v>
      </c>
      <c r="E83" s="41">
        <v>66.600065999999998</v>
      </c>
      <c r="F83" s="39">
        <v>6.0060000000000002</v>
      </c>
      <c r="G83" s="39">
        <v>0</v>
      </c>
      <c r="H83" s="51">
        <f>IF(C83="BUY",
    (J83*F83) + G83,
    IF(C83="SELL",
        (J83*F83) + G83,
        ""))</f>
        <v>399.99999639600003</v>
      </c>
      <c r="I83" s="38" t="s">
        <v>38</v>
      </c>
      <c r="J83" s="39">
        <f t="shared" si="4"/>
        <v>66.600065999999998</v>
      </c>
      <c r="K83" s="51"/>
      <c r="L83" s="49">
        <f t="shared" si="3"/>
        <v>126.2041</v>
      </c>
      <c r="M83" s="30" t="s">
        <v>70</v>
      </c>
    </row>
    <row r="84" spans="1:13" x14ac:dyDescent="0.25">
      <c r="A84" s="40">
        <v>45691</v>
      </c>
      <c r="B84" s="38" t="s">
        <v>61</v>
      </c>
      <c r="C84" s="38" t="s">
        <v>55</v>
      </c>
      <c r="D84" s="38" t="s">
        <v>85</v>
      </c>
      <c r="E84" s="41">
        <v>4.2550000000000001E-3</v>
      </c>
      <c r="F84" s="39">
        <v>234.97</v>
      </c>
      <c r="G84" s="39">
        <v>0</v>
      </c>
      <c r="H84" s="51">
        <f>IF(C84="BUY",
    (J84*F84) + G84,
    IF(C84="SELL",
        (J84*F84) + G84,
        ""))</f>
        <v>0.99979735000000003</v>
      </c>
      <c r="I84" s="38" t="s">
        <v>38</v>
      </c>
      <c r="J84" s="39">
        <f t="shared" si="4"/>
        <v>4.2550000000000001E-3</v>
      </c>
      <c r="K84" s="51"/>
      <c r="L84" s="49">
        <f t="shared" si="3"/>
        <v>4.3E-3</v>
      </c>
      <c r="M84" s="30" t="s">
        <v>70</v>
      </c>
    </row>
    <row r="85" spans="1:13" x14ac:dyDescent="0.25">
      <c r="A85" s="40">
        <v>45691</v>
      </c>
      <c r="B85" s="38" t="s">
        <v>61</v>
      </c>
      <c r="C85" s="38" t="s">
        <v>55</v>
      </c>
      <c r="D85" s="38" t="s">
        <v>0</v>
      </c>
      <c r="E85" s="41">
        <v>1.1181E-2</v>
      </c>
      <c r="F85" s="39">
        <v>89.43</v>
      </c>
      <c r="G85" s="39">
        <v>0</v>
      </c>
      <c r="H85" s="51">
        <f>IF(C85="BUY",
    (J85*F85) + G85,
    IF(C85="SELL",
        (J85*F85) + G85,
        ""))</f>
        <v>0.99991683000000009</v>
      </c>
      <c r="I85" s="38" t="s">
        <v>38</v>
      </c>
      <c r="J85" s="39">
        <f t="shared" si="4"/>
        <v>1.1181E-2</v>
      </c>
      <c r="K85" s="51"/>
      <c r="L85" s="49">
        <f t="shared" si="3"/>
        <v>1.12E-2</v>
      </c>
      <c r="M85" s="30" t="s">
        <v>70</v>
      </c>
    </row>
    <row r="86" spans="1:13" x14ac:dyDescent="0.25">
      <c r="A86" s="40">
        <v>45717</v>
      </c>
      <c r="B86" s="38" t="s">
        <v>73</v>
      </c>
      <c r="C86" s="38" t="s">
        <v>74</v>
      </c>
      <c r="H86" s="51">
        <v>38.799999999999997</v>
      </c>
      <c r="I86" s="38" t="s">
        <v>38</v>
      </c>
      <c r="J86" s="39">
        <f t="shared" si="4"/>
        <v>0</v>
      </c>
      <c r="K86" s="51">
        <v>38.799999999999997</v>
      </c>
      <c r="L86" s="51" t="str">
        <f t="shared" si="3"/>
        <v/>
      </c>
      <c r="M86" s="30" t="s">
        <v>70</v>
      </c>
    </row>
    <row r="87" spans="1:13" x14ac:dyDescent="0.25">
      <c r="A87" s="40">
        <v>45717</v>
      </c>
      <c r="B87" s="38" t="s">
        <v>73</v>
      </c>
      <c r="C87" s="38" t="s">
        <v>74</v>
      </c>
      <c r="H87" s="51">
        <v>15.57</v>
      </c>
      <c r="I87" s="38" t="s">
        <v>41</v>
      </c>
      <c r="J87" s="39">
        <f t="shared" si="4"/>
        <v>0</v>
      </c>
      <c r="K87" s="51">
        <v>15.57</v>
      </c>
      <c r="L87" s="49"/>
      <c r="M87" s="30" t="s">
        <v>71</v>
      </c>
    </row>
    <row r="88" spans="1:13" x14ac:dyDescent="0.25">
      <c r="A88" s="40">
        <v>45719</v>
      </c>
      <c r="B88" s="38" t="s">
        <v>61</v>
      </c>
      <c r="C88" s="38" t="s">
        <v>55</v>
      </c>
      <c r="D88" s="38" t="s">
        <v>10</v>
      </c>
      <c r="E88" s="41">
        <v>16.835016</v>
      </c>
      <c r="F88" s="39">
        <v>5.94</v>
      </c>
      <c r="G88" s="39">
        <v>0</v>
      </c>
      <c r="H88" s="51">
        <f>IF(C88="BUY",
    (J88*F88) + G88,
    IF(C88="SELL",
        (J88*F88) + G88,
        ""))</f>
        <v>99.999995040000002</v>
      </c>
      <c r="I88" s="38" t="s">
        <v>38</v>
      </c>
      <c r="J88" s="39">
        <f t="shared" si="4"/>
        <v>16.835016</v>
      </c>
      <c r="K88" s="51"/>
      <c r="L88" s="51">
        <f t="shared" ref="L88:L93" si="5">IF(C88="BUY",
    ROUND(SUMIFS($J:$J, $D:$D, D88, $A:$A, "&lt;="&amp;A88), 4),
    IF(C88="SELL",
        ROUND(SUMIFS($J:$J, $D:$D, D88, $A:$A, "&lt;="&amp;A88), 4),
        ""))</f>
        <v>144.69399999999999</v>
      </c>
      <c r="M88" s="30" t="s">
        <v>70</v>
      </c>
    </row>
    <row r="89" spans="1:13" x14ac:dyDescent="0.25">
      <c r="A89" s="40">
        <v>45719</v>
      </c>
      <c r="B89" s="38" t="s">
        <v>61</v>
      </c>
      <c r="C89" s="38" t="s">
        <v>55</v>
      </c>
      <c r="D89" s="38" t="s">
        <v>10</v>
      </c>
      <c r="E89" s="41">
        <v>1.654882</v>
      </c>
      <c r="F89" s="39">
        <v>5.94</v>
      </c>
      <c r="G89" s="39">
        <v>0</v>
      </c>
      <c r="H89" s="51">
        <f>IF(C89="BUY",
    (J89*F89) + G89,
    IF(C89="SELL",
        (J89*F89) + G89,
        ""))</f>
        <v>9.8299990800000003</v>
      </c>
      <c r="I89" s="38" t="s">
        <v>38</v>
      </c>
      <c r="J89" s="39">
        <f t="shared" si="4"/>
        <v>1.654882</v>
      </c>
      <c r="K89" s="51"/>
      <c r="L89" s="51">
        <f t="shared" si="5"/>
        <v>144.69399999999999</v>
      </c>
      <c r="M89" s="30" t="s">
        <v>70</v>
      </c>
    </row>
    <row r="90" spans="1:13" x14ac:dyDescent="0.25">
      <c r="A90" s="40">
        <v>45719</v>
      </c>
      <c r="B90" s="38" t="s">
        <v>61</v>
      </c>
      <c r="C90" s="38" t="s">
        <v>55</v>
      </c>
      <c r="D90" s="38" t="s">
        <v>85</v>
      </c>
      <c r="E90" s="41">
        <v>4.2560000000000002E-3</v>
      </c>
      <c r="F90" s="39">
        <v>234.95</v>
      </c>
      <c r="G90" s="39">
        <v>0</v>
      </c>
      <c r="H90" s="51">
        <f>IF(C90="BUY",
    (J90*F90) + G90,
    IF(C90="SELL",
        (J90*F90) + G90,
        ""))</f>
        <v>0.99994720000000004</v>
      </c>
      <c r="I90" s="38" t="s">
        <v>38</v>
      </c>
      <c r="J90" s="39">
        <f t="shared" si="4"/>
        <v>4.2560000000000002E-3</v>
      </c>
      <c r="K90" s="51"/>
      <c r="L90" s="51">
        <f t="shared" si="5"/>
        <v>8.5000000000000006E-3</v>
      </c>
      <c r="M90" s="30" t="s">
        <v>70</v>
      </c>
    </row>
    <row r="91" spans="1:13" x14ac:dyDescent="0.25">
      <c r="A91" s="40">
        <v>45719</v>
      </c>
      <c r="B91" s="38" t="s">
        <v>61</v>
      </c>
      <c r="C91" s="38" t="s">
        <v>55</v>
      </c>
      <c r="D91" s="38" t="s">
        <v>0</v>
      </c>
      <c r="E91" s="41">
        <v>1.1495E-2</v>
      </c>
      <c r="F91" s="39">
        <v>86.99</v>
      </c>
      <c r="G91" s="39">
        <v>0</v>
      </c>
      <c r="H91" s="51">
        <f>IF(C91="BUY",
    (J91*F91) + G91,
    IF(C91="SELL",
        (J91*F91) + G91,
        ""))</f>
        <v>0.99995004999999992</v>
      </c>
      <c r="I91" s="38" t="s">
        <v>38</v>
      </c>
      <c r="J91" s="39">
        <f t="shared" si="4"/>
        <v>1.1495E-2</v>
      </c>
      <c r="K91" s="51"/>
      <c r="L91" s="51">
        <f t="shared" si="5"/>
        <v>2.2700000000000001E-2</v>
      </c>
      <c r="M91" s="30" t="s">
        <v>70</v>
      </c>
    </row>
    <row r="92" spans="1:13" x14ac:dyDescent="0.25">
      <c r="A92" s="40">
        <v>45727</v>
      </c>
      <c r="B92" s="38" t="s">
        <v>61</v>
      </c>
      <c r="C92" s="38" t="s">
        <v>55</v>
      </c>
      <c r="D92" s="38" t="s">
        <v>86</v>
      </c>
      <c r="E92" s="41">
        <v>4.6065959999999997</v>
      </c>
      <c r="F92" s="39">
        <v>542.70000000000005</v>
      </c>
      <c r="G92" s="39">
        <v>1</v>
      </c>
      <c r="H92" s="51">
        <f>IF(C92="BUY",
    (J92*F92) + G92,
    IF(C92="SELL",
        (J92*F92) + G92,
        ""))</f>
        <v>2500.9996492</v>
      </c>
      <c r="I92" s="38" t="s">
        <v>38</v>
      </c>
      <c r="J92" s="39">
        <f t="shared" si="4"/>
        <v>4.6065959999999997</v>
      </c>
      <c r="K92" s="51"/>
      <c r="L92" s="51">
        <f t="shared" si="5"/>
        <v>4.6066000000000003</v>
      </c>
      <c r="M92" s="30" t="s">
        <v>70</v>
      </c>
    </row>
    <row r="93" spans="1:13" x14ac:dyDescent="0.25">
      <c r="A93" s="40">
        <v>45748</v>
      </c>
      <c r="B93" s="38" t="s">
        <v>73</v>
      </c>
      <c r="C93" s="38" t="s">
        <v>74</v>
      </c>
      <c r="H93" s="51">
        <v>39.11</v>
      </c>
      <c r="I93" s="38" t="s">
        <v>38</v>
      </c>
      <c r="J93" s="39">
        <f t="shared" si="4"/>
        <v>0</v>
      </c>
      <c r="K93" s="51">
        <v>39.11</v>
      </c>
      <c r="L93" s="51" t="str">
        <f t="shared" si="5"/>
        <v/>
      </c>
      <c r="M93" s="30" t="s">
        <v>70</v>
      </c>
    </row>
    <row r="94" spans="1:13" x14ac:dyDescent="0.25">
      <c r="A94" s="40">
        <v>45748</v>
      </c>
      <c r="B94" s="38" t="s">
        <v>73</v>
      </c>
      <c r="C94" s="38" t="s">
        <v>74</v>
      </c>
      <c r="H94" s="51">
        <v>17.28</v>
      </c>
      <c r="I94" s="38" t="s">
        <v>41</v>
      </c>
      <c r="J94" s="39">
        <f t="shared" si="4"/>
        <v>0</v>
      </c>
      <c r="K94" s="51">
        <v>17.28</v>
      </c>
      <c r="L94" s="49"/>
      <c r="M94" s="30" t="s">
        <v>71</v>
      </c>
    </row>
    <row r="95" spans="1:13" x14ac:dyDescent="0.25">
      <c r="A95" s="40">
        <v>45749</v>
      </c>
      <c r="B95" s="38" t="s">
        <v>61</v>
      </c>
      <c r="C95" s="38" t="s">
        <v>55</v>
      </c>
      <c r="D95" s="38" t="s">
        <v>10</v>
      </c>
      <c r="E95" s="41">
        <v>17.403410999999998</v>
      </c>
      <c r="F95" s="39">
        <v>5.75</v>
      </c>
      <c r="G95" s="39">
        <v>0</v>
      </c>
      <c r="H95" s="51">
        <f t="shared" ref="H95:H102" si="6">IF(C95="BUY",
    (J95*F95) + G95,
    IF(C95="SELL",
        (J95*F95) + G95,
        ""))</f>
        <v>100.06961324999999</v>
      </c>
      <c r="I95" s="38" t="s">
        <v>38</v>
      </c>
      <c r="J95" s="39">
        <f t="shared" si="4"/>
        <v>17.403410999999998</v>
      </c>
      <c r="K95" s="51"/>
      <c r="L95" s="51">
        <f t="shared" ref="L95:L103" si="7">IF(C95="BUY",
    ROUND(SUMIFS($J:$J, $D:$D, D95, $A:$A, "&lt;="&amp;A95), 4),
    IF(C95="SELL",
        ROUND(SUMIFS($J:$J, $D:$D, D95, $A:$A, "&lt;="&amp;A95), 4),
        ""))</f>
        <v>162.87710000000001</v>
      </c>
      <c r="M95" s="30" t="s">
        <v>70</v>
      </c>
    </row>
    <row r="96" spans="1:13" x14ac:dyDescent="0.25">
      <c r="A96" s="40">
        <v>45749</v>
      </c>
      <c r="B96" s="38" t="s">
        <v>61</v>
      </c>
      <c r="C96" s="38" t="s">
        <v>55</v>
      </c>
      <c r="D96" s="38" t="s">
        <v>10</v>
      </c>
      <c r="E96" s="41">
        <v>0.77967200000000003</v>
      </c>
      <c r="F96" s="39">
        <v>5.75</v>
      </c>
      <c r="G96" s="39">
        <v>0</v>
      </c>
      <c r="H96" s="51">
        <f t="shared" si="6"/>
        <v>4.4831140000000005</v>
      </c>
      <c r="I96" s="38" t="s">
        <v>38</v>
      </c>
      <c r="J96" s="39">
        <f t="shared" si="4"/>
        <v>0.77967200000000003</v>
      </c>
      <c r="K96" s="51"/>
      <c r="L96" s="51">
        <f t="shared" si="7"/>
        <v>162.87710000000001</v>
      </c>
      <c r="M96" s="30" t="s">
        <v>70</v>
      </c>
    </row>
    <row r="97" spans="1:13" x14ac:dyDescent="0.25">
      <c r="A97" s="40">
        <v>45749</v>
      </c>
      <c r="B97" s="38" t="s">
        <v>61</v>
      </c>
      <c r="C97" s="38" t="s">
        <v>55</v>
      </c>
      <c r="D97" s="38" t="s">
        <v>85</v>
      </c>
      <c r="E97" s="41">
        <v>4.6220000000000002E-3</v>
      </c>
      <c r="F97" s="39">
        <v>216.35</v>
      </c>
      <c r="G97" s="39">
        <v>0</v>
      </c>
      <c r="H97" s="51">
        <f t="shared" si="6"/>
        <v>0.99996970000000007</v>
      </c>
      <c r="I97" s="38" t="s">
        <v>38</v>
      </c>
      <c r="J97" s="39">
        <f t="shared" si="4"/>
        <v>4.6220000000000002E-3</v>
      </c>
      <c r="K97" s="51"/>
      <c r="L97" s="51">
        <f t="shared" si="7"/>
        <v>1.3100000000000001E-2</v>
      </c>
      <c r="M97" s="30" t="s">
        <v>70</v>
      </c>
    </row>
    <row r="98" spans="1:13" x14ac:dyDescent="0.25">
      <c r="A98" s="40">
        <v>45749</v>
      </c>
      <c r="B98" s="38" t="s">
        <v>61</v>
      </c>
      <c r="C98" s="38" t="s">
        <v>55</v>
      </c>
      <c r="D98" s="38" t="s">
        <v>0</v>
      </c>
      <c r="E98" s="41">
        <v>1.2836E-2</v>
      </c>
      <c r="F98" s="39">
        <v>77.900000000000006</v>
      </c>
      <c r="G98" s="39">
        <v>0</v>
      </c>
      <c r="H98" s="51">
        <f t="shared" si="6"/>
        <v>0.99992440000000005</v>
      </c>
      <c r="I98" s="38" t="s">
        <v>38</v>
      </c>
      <c r="J98" s="39">
        <f t="shared" si="4"/>
        <v>1.2836E-2</v>
      </c>
      <c r="K98" s="51"/>
      <c r="L98" s="51">
        <f t="shared" si="7"/>
        <v>3.5499999999999997E-2</v>
      </c>
      <c r="M98" s="30" t="s">
        <v>70</v>
      </c>
    </row>
    <row r="99" spans="1:13" x14ac:dyDescent="0.25">
      <c r="A99" s="40">
        <v>45763</v>
      </c>
      <c r="B99" s="38" t="s">
        <v>61</v>
      </c>
      <c r="C99" s="38" t="s">
        <v>55</v>
      </c>
      <c r="D99" s="38" t="s">
        <v>85</v>
      </c>
      <c r="E99" s="41">
        <v>0.12570300000000001</v>
      </c>
      <c r="F99" s="39">
        <v>198.88</v>
      </c>
      <c r="G99" s="39">
        <v>0</v>
      </c>
      <c r="H99" s="51">
        <f t="shared" si="6"/>
        <v>24.999812640000002</v>
      </c>
      <c r="I99" s="38" t="s">
        <v>38</v>
      </c>
      <c r="J99" s="39">
        <f t="shared" si="4"/>
        <v>0.12570300000000001</v>
      </c>
      <c r="K99" s="51"/>
      <c r="L99" s="51">
        <f t="shared" si="7"/>
        <v>0.13880000000000001</v>
      </c>
      <c r="M99" s="30" t="s">
        <v>70</v>
      </c>
    </row>
    <row r="100" spans="1:13" x14ac:dyDescent="0.25">
      <c r="A100" s="40">
        <v>45763</v>
      </c>
      <c r="B100" s="38" t="s">
        <v>61</v>
      </c>
      <c r="C100" s="38" t="s">
        <v>55</v>
      </c>
      <c r="D100" s="38" t="s">
        <v>0</v>
      </c>
      <c r="E100" s="41">
        <v>0.35460900000000001</v>
      </c>
      <c r="F100" s="39">
        <v>70.5</v>
      </c>
      <c r="G100" s="39">
        <v>0</v>
      </c>
      <c r="H100" s="51">
        <f t="shared" si="6"/>
        <v>24.999934500000002</v>
      </c>
      <c r="I100" s="38" t="s">
        <v>38</v>
      </c>
      <c r="J100" s="39">
        <f t="shared" si="4"/>
        <v>0.35460900000000001</v>
      </c>
      <c r="K100" s="51"/>
      <c r="L100" s="51">
        <f t="shared" si="7"/>
        <v>0.3901</v>
      </c>
      <c r="M100" s="30" t="s">
        <v>70</v>
      </c>
    </row>
    <row r="101" spans="1:13" x14ac:dyDescent="0.25">
      <c r="A101" s="40">
        <v>45770</v>
      </c>
      <c r="B101" s="38" t="s">
        <v>61</v>
      </c>
      <c r="C101" s="38" t="s">
        <v>55</v>
      </c>
      <c r="D101" s="38" t="s">
        <v>85</v>
      </c>
      <c r="E101" s="41">
        <v>0.123793</v>
      </c>
      <c r="F101" s="39">
        <v>201.95</v>
      </c>
      <c r="G101" s="39">
        <v>0</v>
      </c>
      <c r="H101" s="51">
        <f t="shared" si="6"/>
        <v>24.99999635</v>
      </c>
      <c r="I101" s="38" t="s">
        <v>38</v>
      </c>
      <c r="J101" s="39">
        <f t="shared" si="4"/>
        <v>0.123793</v>
      </c>
      <c r="K101" s="51"/>
      <c r="L101" s="51">
        <f t="shared" si="7"/>
        <v>0.2626</v>
      </c>
      <c r="M101" s="30" t="s">
        <v>70</v>
      </c>
    </row>
    <row r="102" spans="1:13" x14ac:dyDescent="0.25">
      <c r="A102" s="40">
        <v>45770</v>
      </c>
      <c r="B102" s="38" t="s">
        <v>61</v>
      </c>
      <c r="C102" s="38" t="s">
        <v>55</v>
      </c>
      <c r="D102" s="38" t="s">
        <v>0</v>
      </c>
      <c r="E102" s="41">
        <v>0.34626000000000001</v>
      </c>
      <c r="F102" s="39">
        <v>72.2</v>
      </c>
      <c r="G102" s="39">
        <v>0</v>
      </c>
      <c r="H102" s="51">
        <f t="shared" si="6"/>
        <v>24.999972000000003</v>
      </c>
      <c r="I102" s="38" t="s">
        <v>38</v>
      </c>
      <c r="J102" s="39">
        <f t="shared" si="4"/>
        <v>0.34626000000000001</v>
      </c>
      <c r="K102" s="51"/>
      <c r="L102" s="51">
        <f t="shared" si="7"/>
        <v>0.73640000000000005</v>
      </c>
      <c r="M102" s="30" t="s">
        <v>70</v>
      </c>
    </row>
    <row r="103" spans="1:13" x14ac:dyDescent="0.25">
      <c r="A103" s="40">
        <v>45778</v>
      </c>
      <c r="B103" s="38" t="s">
        <v>73</v>
      </c>
      <c r="C103" s="38" t="s">
        <v>74</v>
      </c>
      <c r="H103" s="51">
        <v>36.200000000000003</v>
      </c>
      <c r="I103" s="38" t="s">
        <v>38</v>
      </c>
      <c r="J103" s="39">
        <f t="shared" si="4"/>
        <v>0</v>
      </c>
      <c r="K103" s="51">
        <v>36.200000000000003</v>
      </c>
      <c r="L103" s="51" t="str">
        <f t="shared" si="7"/>
        <v/>
      </c>
      <c r="M103" s="30" t="s">
        <v>70</v>
      </c>
    </row>
    <row r="104" spans="1:13" x14ac:dyDescent="0.25">
      <c r="A104" s="40">
        <v>45778</v>
      </c>
      <c r="B104" s="38" t="s">
        <v>73</v>
      </c>
      <c r="C104" s="38" t="s">
        <v>74</v>
      </c>
      <c r="H104" s="51">
        <v>16.77</v>
      </c>
      <c r="I104" s="38" t="s">
        <v>41</v>
      </c>
      <c r="J104" s="39">
        <f t="shared" si="4"/>
        <v>0</v>
      </c>
      <c r="K104" s="51">
        <v>16.77</v>
      </c>
      <c r="L104" s="49"/>
      <c r="M104" s="30" t="s">
        <v>71</v>
      </c>
    </row>
    <row r="105" spans="1:13" x14ac:dyDescent="0.25">
      <c r="A105" s="40">
        <v>45779</v>
      </c>
      <c r="B105" s="38" t="s">
        <v>61</v>
      </c>
      <c r="C105" s="38" t="s">
        <v>55</v>
      </c>
      <c r="D105" s="38" t="s">
        <v>10</v>
      </c>
      <c r="E105" s="41">
        <v>0.182116</v>
      </c>
      <c r="F105" s="39">
        <v>5.49</v>
      </c>
      <c r="G105" s="39">
        <v>0</v>
      </c>
      <c r="H105" s="51">
        <f t="shared" ref="H105:H112" si="8">IF(C105="BUY",
    (J105*F105) + G105,
    IF(C105="SELL",
        (J105*F105) + G105,
        ""))</f>
        <v>0.99981684000000004</v>
      </c>
      <c r="I105" s="38" t="s">
        <v>38</v>
      </c>
      <c r="J105" s="39">
        <f t="shared" si="4"/>
        <v>0.182116</v>
      </c>
      <c r="K105" s="51"/>
      <c r="L105" s="51">
        <f t="shared" ref="L105:L112" si="9">IF(C105="BUY",
    ROUND(SUMIFS($J:$J, $D:$D, D105, $A:$A, "&lt;="&amp;A105), 4),
    IF(C105="SELL",
        ROUND(SUMIFS($J:$J, $D:$D, D105, $A:$A, "&lt;="&amp;A105), 4),
        ""))</f>
        <v>163.72030000000001</v>
      </c>
      <c r="M105" s="30" t="s">
        <v>70</v>
      </c>
    </row>
    <row r="106" spans="1:13" x14ac:dyDescent="0.25">
      <c r="A106" s="40">
        <v>45779</v>
      </c>
      <c r="B106" s="38" t="s">
        <v>61</v>
      </c>
      <c r="C106" s="38" t="s">
        <v>55</v>
      </c>
      <c r="D106" s="38" t="s">
        <v>10</v>
      </c>
      <c r="E106" s="41">
        <v>0.66108100000000003</v>
      </c>
      <c r="F106" s="39">
        <v>5.49</v>
      </c>
      <c r="G106" s="39">
        <v>0</v>
      </c>
      <c r="H106" s="51">
        <f t="shared" si="8"/>
        <v>3.6293346900000003</v>
      </c>
      <c r="I106" s="38" t="s">
        <v>38</v>
      </c>
      <c r="J106" s="39">
        <f t="shared" si="4"/>
        <v>0.66108100000000003</v>
      </c>
      <c r="K106" s="51"/>
      <c r="L106" s="51">
        <f t="shared" si="9"/>
        <v>163.72030000000001</v>
      </c>
      <c r="M106" s="30" t="s">
        <v>70</v>
      </c>
    </row>
    <row r="107" spans="1:13" x14ac:dyDescent="0.25">
      <c r="A107" s="40">
        <v>45779</v>
      </c>
      <c r="B107" s="38" t="s">
        <v>61</v>
      </c>
      <c r="C107" s="38" t="s">
        <v>55</v>
      </c>
      <c r="D107" s="38" t="s">
        <v>85</v>
      </c>
      <c r="E107" s="41">
        <v>0.11876399999999999</v>
      </c>
      <c r="F107" s="39">
        <v>210.5</v>
      </c>
      <c r="G107" s="39">
        <v>0</v>
      </c>
      <c r="H107" s="51">
        <f t="shared" si="8"/>
        <v>24.999821999999998</v>
      </c>
      <c r="I107" s="38" t="s">
        <v>38</v>
      </c>
      <c r="J107" s="39">
        <f t="shared" si="4"/>
        <v>0.11876399999999999</v>
      </c>
      <c r="K107" s="51"/>
      <c r="L107" s="51">
        <f t="shared" si="9"/>
        <v>0.49819999999999998</v>
      </c>
      <c r="M107" s="30" t="s">
        <v>70</v>
      </c>
    </row>
    <row r="108" spans="1:13" x14ac:dyDescent="0.25">
      <c r="A108" s="40">
        <v>45779</v>
      </c>
      <c r="B108" s="38" t="s">
        <v>61</v>
      </c>
      <c r="C108" s="38" t="s">
        <v>55</v>
      </c>
      <c r="D108" s="38" t="s">
        <v>0</v>
      </c>
      <c r="E108" s="41">
        <v>0.320102</v>
      </c>
      <c r="F108" s="39">
        <v>78.099999999999994</v>
      </c>
      <c r="G108" s="39">
        <v>0</v>
      </c>
      <c r="H108" s="51">
        <f t="shared" si="8"/>
        <v>24.999966199999999</v>
      </c>
      <c r="I108" s="38" t="s">
        <v>38</v>
      </c>
      <c r="J108" s="39">
        <f t="shared" si="4"/>
        <v>0.320102</v>
      </c>
      <c r="K108" s="51"/>
      <c r="L108" s="51">
        <f t="shared" si="9"/>
        <v>1.0565</v>
      </c>
      <c r="M108" s="30" t="s">
        <v>70</v>
      </c>
    </row>
    <row r="109" spans="1:13" x14ac:dyDescent="0.25">
      <c r="A109" s="40">
        <v>45779</v>
      </c>
      <c r="B109" s="38" t="s">
        <v>61</v>
      </c>
      <c r="C109" s="38" t="s">
        <v>55</v>
      </c>
      <c r="D109" s="38" t="s">
        <v>85</v>
      </c>
      <c r="E109" s="41">
        <v>0.11684899999999999</v>
      </c>
      <c r="F109" s="39">
        <v>213.95</v>
      </c>
      <c r="G109" s="39">
        <v>0</v>
      </c>
      <c r="H109" s="51">
        <f t="shared" si="8"/>
        <v>24.999843549999998</v>
      </c>
      <c r="I109" s="38" t="s">
        <v>38</v>
      </c>
      <c r="J109" s="39">
        <f t="shared" si="4"/>
        <v>0.11684899999999999</v>
      </c>
      <c r="K109" s="51"/>
      <c r="L109" s="51">
        <f t="shared" si="9"/>
        <v>0.49819999999999998</v>
      </c>
      <c r="M109" s="30" t="s">
        <v>70</v>
      </c>
    </row>
    <row r="110" spans="1:13" x14ac:dyDescent="0.25">
      <c r="A110" s="40">
        <v>45786</v>
      </c>
      <c r="B110" s="38" t="s">
        <v>61</v>
      </c>
      <c r="C110" s="38" t="s">
        <v>55</v>
      </c>
      <c r="D110" s="38" t="s">
        <v>0</v>
      </c>
      <c r="E110" s="41">
        <v>0.31899899999999998</v>
      </c>
      <c r="F110" s="39">
        <v>78.37</v>
      </c>
      <c r="G110" s="39">
        <v>0</v>
      </c>
      <c r="H110" s="51">
        <f t="shared" si="8"/>
        <v>24.999951629999998</v>
      </c>
      <c r="I110" s="38" t="s">
        <v>38</v>
      </c>
      <c r="J110" s="39">
        <f t="shared" si="4"/>
        <v>0.31899899999999998</v>
      </c>
      <c r="K110" s="51"/>
      <c r="L110" s="51">
        <f t="shared" si="9"/>
        <v>1.3754999999999999</v>
      </c>
      <c r="M110" s="30" t="s">
        <v>70</v>
      </c>
    </row>
    <row r="111" spans="1:13" x14ac:dyDescent="0.25">
      <c r="A111" s="40">
        <v>45791</v>
      </c>
      <c r="B111" s="38" t="s">
        <v>61</v>
      </c>
      <c r="C111" s="38" t="s">
        <v>56</v>
      </c>
      <c r="D111" s="38" t="s">
        <v>86</v>
      </c>
      <c r="E111" s="41">
        <v>2.3032979999999998</v>
      </c>
      <c r="F111" s="39">
        <v>559.70000000000005</v>
      </c>
      <c r="G111" s="39">
        <v>1</v>
      </c>
      <c r="H111" s="51">
        <f t="shared" si="8"/>
        <v>-1288.1558906</v>
      </c>
      <c r="I111" s="38" t="s">
        <v>38</v>
      </c>
      <c r="J111" s="39">
        <f t="shared" si="4"/>
        <v>-2.3032979999999998</v>
      </c>
      <c r="K111" s="51">
        <v>37.659999999999997</v>
      </c>
      <c r="L111" s="51">
        <f t="shared" si="9"/>
        <v>2.3033000000000001</v>
      </c>
      <c r="M111" s="30" t="s">
        <v>70</v>
      </c>
    </row>
    <row r="112" spans="1:13" x14ac:dyDescent="0.25">
      <c r="A112" s="40">
        <v>45793</v>
      </c>
      <c r="B112" s="38" t="s">
        <v>61</v>
      </c>
      <c r="C112" s="38" t="s">
        <v>56</v>
      </c>
      <c r="D112" s="38" t="s">
        <v>86</v>
      </c>
      <c r="E112" s="41">
        <v>2.3032979999999998</v>
      </c>
      <c r="F112" s="39">
        <v>563.62</v>
      </c>
      <c r="G112" s="39">
        <v>1</v>
      </c>
      <c r="H112" s="51">
        <f t="shared" si="8"/>
        <v>-1297.1848187599999</v>
      </c>
      <c r="I112" s="38" t="s">
        <v>38</v>
      </c>
      <c r="J112" s="39">
        <f t="shared" si="4"/>
        <v>-2.3032979999999998</v>
      </c>
      <c r="K112" s="51">
        <v>46.68</v>
      </c>
      <c r="L112" s="51">
        <f t="shared" si="9"/>
        <v>0</v>
      </c>
      <c r="M112" s="30" t="s">
        <v>70</v>
      </c>
    </row>
    <row r="113" spans="1:13" x14ac:dyDescent="0.25">
      <c r="A113" s="40">
        <v>45809</v>
      </c>
      <c r="B113" s="38" t="s">
        <v>73</v>
      </c>
      <c r="C113" s="38" t="s">
        <v>74</v>
      </c>
      <c r="H113" s="51">
        <v>39.06</v>
      </c>
      <c r="I113" s="38" t="s">
        <v>38</v>
      </c>
      <c r="J113" s="39">
        <f t="shared" si="4"/>
        <v>0</v>
      </c>
      <c r="K113" s="51">
        <v>39.06</v>
      </c>
      <c r="L113" s="49"/>
      <c r="M113" s="30" t="s">
        <v>70</v>
      </c>
    </row>
    <row r="114" spans="1:13" x14ac:dyDescent="0.25">
      <c r="A114" s="40">
        <v>45809</v>
      </c>
      <c r="B114" s="38" t="s">
        <v>73</v>
      </c>
      <c r="C114" s="38" t="s">
        <v>74</v>
      </c>
      <c r="H114" s="51">
        <v>17.38</v>
      </c>
      <c r="I114" s="38" t="s">
        <v>41</v>
      </c>
      <c r="J114" s="39">
        <f t="shared" ref="J114:J145" si="10">IF(C114="SELL",
    IF(E114&gt;0, -E114, E114),
    ABS(E114))</f>
        <v>0</v>
      </c>
      <c r="K114" s="51">
        <v>17.38</v>
      </c>
      <c r="L114" s="49"/>
      <c r="M114" s="30" t="s">
        <v>71</v>
      </c>
    </row>
    <row r="115" spans="1:13" x14ac:dyDescent="0.25">
      <c r="A115" s="40">
        <v>45810</v>
      </c>
      <c r="B115" s="38" t="s">
        <v>61</v>
      </c>
      <c r="C115" s="38" t="s">
        <v>55</v>
      </c>
      <c r="D115" s="38" t="s">
        <v>10</v>
      </c>
      <c r="E115" s="41">
        <v>0.91424300000000003</v>
      </c>
      <c r="F115" s="39">
        <v>5.47</v>
      </c>
      <c r="G115" s="39">
        <v>0</v>
      </c>
      <c r="H115" s="51">
        <f t="shared" ref="H115:H121" si="11">IF(C115="BUY",
    (J115*F115) + G115,
    IF(C115="SELL",
        (J115*F115) + G115,
        ""))</f>
        <v>5.0009092099999997</v>
      </c>
      <c r="I115" s="38" t="s">
        <v>38</v>
      </c>
      <c r="J115" s="39">
        <f t="shared" si="10"/>
        <v>0.91424300000000003</v>
      </c>
      <c r="K115" s="51"/>
      <c r="L115" s="51">
        <f t="shared" ref="L115:L121" si="12">IF(C115="BUY",
    ROUND(SUMIFS($J:$J, $D:$D, D115, $A:$A, "&lt;="&amp;A115), 4),
    IF(C115="SELL",
        ROUND(SUMIFS($J:$J, $D:$D, D115, $A:$A, "&lt;="&amp;A115), 4),
        ""))</f>
        <v>165.55250000000001</v>
      </c>
      <c r="M115" s="30" t="s">
        <v>70</v>
      </c>
    </row>
    <row r="116" spans="1:13" x14ac:dyDescent="0.25">
      <c r="A116" s="40">
        <v>45810</v>
      </c>
      <c r="B116" s="38" t="s">
        <v>61</v>
      </c>
      <c r="C116" s="38" t="s">
        <v>55</v>
      </c>
      <c r="D116" s="38" t="s">
        <v>10</v>
      </c>
      <c r="E116" s="41">
        <v>0.91790000000000005</v>
      </c>
      <c r="F116" s="39">
        <v>5.47</v>
      </c>
      <c r="G116" s="39">
        <v>0</v>
      </c>
      <c r="H116" s="51">
        <f t="shared" si="11"/>
        <v>5.0209130000000002</v>
      </c>
      <c r="I116" s="38" t="s">
        <v>38</v>
      </c>
      <c r="J116" s="39">
        <f t="shared" si="10"/>
        <v>0.91790000000000005</v>
      </c>
      <c r="K116" s="51"/>
      <c r="L116" s="51">
        <f t="shared" si="12"/>
        <v>165.55250000000001</v>
      </c>
      <c r="M116" s="30" t="s">
        <v>70</v>
      </c>
    </row>
    <row r="117" spans="1:13" x14ac:dyDescent="0.25">
      <c r="A117" s="40">
        <v>45810</v>
      </c>
      <c r="B117" s="38" t="s">
        <v>61</v>
      </c>
      <c r="C117" s="38" t="s">
        <v>55</v>
      </c>
      <c r="D117" s="38" t="s">
        <v>85</v>
      </c>
      <c r="E117" s="41">
        <v>2.2919999999999999E-2</v>
      </c>
      <c r="F117" s="39">
        <v>218.15</v>
      </c>
      <c r="G117" s="39">
        <v>0</v>
      </c>
      <c r="H117" s="51">
        <f t="shared" si="11"/>
        <v>4.9999979999999997</v>
      </c>
      <c r="I117" s="38" t="s">
        <v>38</v>
      </c>
      <c r="J117" s="39">
        <f t="shared" si="10"/>
        <v>2.2919999999999999E-2</v>
      </c>
      <c r="K117" s="51"/>
      <c r="L117" s="51">
        <f t="shared" si="12"/>
        <v>0.5212</v>
      </c>
      <c r="M117" s="30" t="s">
        <v>70</v>
      </c>
    </row>
    <row r="118" spans="1:13" x14ac:dyDescent="0.25">
      <c r="A118" s="40">
        <v>45810</v>
      </c>
      <c r="B118" s="38" t="s">
        <v>61</v>
      </c>
      <c r="C118" s="38" t="s">
        <v>55</v>
      </c>
      <c r="D118" s="38" t="s">
        <v>0</v>
      </c>
      <c r="E118" s="41">
        <v>6.0364000000000001E-2</v>
      </c>
      <c r="F118" s="39">
        <v>82.83</v>
      </c>
      <c r="G118" s="39">
        <v>0</v>
      </c>
      <c r="H118" s="51">
        <f t="shared" si="11"/>
        <v>4.9999501200000003</v>
      </c>
      <c r="I118" s="38" t="s">
        <v>38</v>
      </c>
      <c r="J118" s="39">
        <f t="shared" si="10"/>
        <v>6.0364000000000001E-2</v>
      </c>
      <c r="K118" s="51"/>
      <c r="L118" s="51">
        <f t="shared" si="12"/>
        <v>1.4358</v>
      </c>
      <c r="M118" s="30" t="s">
        <v>70</v>
      </c>
    </row>
    <row r="119" spans="1:13" x14ac:dyDescent="0.25">
      <c r="A119" s="40">
        <v>45817</v>
      </c>
      <c r="B119" s="38" t="s">
        <v>61</v>
      </c>
      <c r="C119" s="38" t="s">
        <v>55</v>
      </c>
      <c r="D119" s="38" t="s">
        <v>10</v>
      </c>
      <c r="E119" s="41">
        <v>0.913408</v>
      </c>
      <c r="F119" s="39">
        <v>5.47</v>
      </c>
      <c r="G119" s="39">
        <v>0</v>
      </c>
      <c r="H119" s="51">
        <f t="shared" si="11"/>
        <v>4.99634176</v>
      </c>
      <c r="I119" s="38" t="s">
        <v>38</v>
      </c>
      <c r="J119" s="39">
        <f t="shared" si="10"/>
        <v>0.913408</v>
      </c>
      <c r="K119" s="51"/>
      <c r="L119" s="51">
        <f t="shared" si="12"/>
        <v>166.4659</v>
      </c>
      <c r="M119" s="30" t="s">
        <v>70</v>
      </c>
    </row>
    <row r="120" spans="1:13" x14ac:dyDescent="0.25">
      <c r="A120" s="40">
        <v>45817</v>
      </c>
      <c r="B120" s="38" t="s">
        <v>61</v>
      </c>
      <c r="C120" s="38" t="s">
        <v>55</v>
      </c>
      <c r="D120" s="38" t="s">
        <v>85</v>
      </c>
      <c r="E120" s="41">
        <v>2.2440999999999999E-2</v>
      </c>
      <c r="F120" s="39">
        <v>222.8</v>
      </c>
      <c r="G120" s="39">
        <v>0</v>
      </c>
      <c r="H120" s="51">
        <f t="shared" si="11"/>
        <v>4.9998548000000005</v>
      </c>
      <c r="I120" s="38" t="s">
        <v>38</v>
      </c>
      <c r="J120" s="39">
        <f t="shared" si="10"/>
        <v>2.2440999999999999E-2</v>
      </c>
      <c r="K120" s="51"/>
      <c r="L120" s="51">
        <f t="shared" si="12"/>
        <v>0.54359999999999997</v>
      </c>
      <c r="M120" s="30" t="s">
        <v>70</v>
      </c>
    </row>
    <row r="121" spans="1:13" x14ac:dyDescent="0.25">
      <c r="A121" s="40">
        <v>45817</v>
      </c>
      <c r="B121" s="38" t="s">
        <v>61</v>
      </c>
      <c r="C121" s="38" t="s">
        <v>55</v>
      </c>
      <c r="D121" s="38" t="s">
        <v>0</v>
      </c>
      <c r="E121" s="41">
        <v>5.8200000000000002E-2</v>
      </c>
      <c r="F121" s="39">
        <v>85.91</v>
      </c>
      <c r="G121" s="39">
        <v>0</v>
      </c>
      <c r="H121" s="51">
        <f t="shared" si="11"/>
        <v>4.999962</v>
      </c>
      <c r="I121" s="38" t="s">
        <v>38</v>
      </c>
      <c r="J121" s="39">
        <f t="shared" si="10"/>
        <v>5.8200000000000002E-2</v>
      </c>
      <c r="K121" s="51"/>
      <c r="L121" s="51">
        <f t="shared" si="12"/>
        <v>1.494</v>
      </c>
      <c r="M121" s="30" t="s">
        <v>70</v>
      </c>
    </row>
    <row r="122" spans="1:13" x14ac:dyDescent="0.25">
      <c r="A122" s="40"/>
      <c r="H122" s="51"/>
      <c r="J122" s="39">
        <f t="shared" si="10"/>
        <v>0</v>
      </c>
      <c r="K122" s="51"/>
      <c r="L122" s="49"/>
    </row>
    <row r="123" spans="1:13" x14ac:dyDescent="0.25">
      <c r="A123" s="40"/>
      <c r="H123" s="51"/>
      <c r="J123" s="39">
        <f t="shared" si="10"/>
        <v>0</v>
      </c>
      <c r="K123" s="51"/>
      <c r="L123" s="49"/>
    </row>
    <row r="124" spans="1:13" x14ac:dyDescent="0.25">
      <c r="A124" s="40"/>
      <c r="H124" s="51"/>
      <c r="J124" s="39">
        <f t="shared" si="10"/>
        <v>0</v>
      </c>
      <c r="K124" s="51"/>
      <c r="L124" s="49"/>
    </row>
    <row r="125" spans="1:13" x14ac:dyDescent="0.25">
      <c r="A125" s="40"/>
      <c r="H125" s="51"/>
      <c r="J125" s="39">
        <f t="shared" si="10"/>
        <v>0</v>
      </c>
      <c r="K125" s="51"/>
      <c r="L125" s="49"/>
    </row>
    <row r="126" spans="1:13" x14ac:dyDescent="0.25">
      <c r="A126" s="40"/>
      <c r="J126" s="39">
        <f t="shared" si="10"/>
        <v>0</v>
      </c>
    </row>
    <row r="127" spans="1:13" x14ac:dyDescent="0.25">
      <c r="A127" s="40"/>
      <c r="J127" s="39">
        <f t="shared" si="10"/>
        <v>0</v>
      </c>
    </row>
    <row r="128" spans="1:13" x14ac:dyDescent="0.25">
      <c r="A128" s="40"/>
      <c r="J128" s="39">
        <f t="shared" si="10"/>
        <v>0</v>
      </c>
    </row>
    <row r="129" spans="1:10" x14ac:dyDescent="0.25">
      <c r="A129" s="40"/>
      <c r="J129" s="39">
        <f t="shared" si="10"/>
        <v>0</v>
      </c>
    </row>
    <row r="130" spans="1:10" x14ac:dyDescent="0.25">
      <c r="A130" s="40"/>
      <c r="J130" s="39">
        <f t="shared" si="10"/>
        <v>0</v>
      </c>
    </row>
    <row r="131" spans="1:10" x14ac:dyDescent="0.25">
      <c r="A131" s="40"/>
      <c r="J131" s="39">
        <f t="shared" si="10"/>
        <v>0</v>
      </c>
    </row>
    <row r="132" spans="1:10" x14ac:dyDescent="0.25">
      <c r="A132" s="40"/>
      <c r="J132" s="39">
        <f t="shared" si="10"/>
        <v>0</v>
      </c>
    </row>
    <row r="133" spans="1:10" x14ac:dyDescent="0.25">
      <c r="A133" s="40"/>
      <c r="J133" s="39">
        <f t="shared" si="10"/>
        <v>0</v>
      </c>
    </row>
    <row r="134" spans="1:10" x14ac:dyDescent="0.25">
      <c r="A134" s="40"/>
      <c r="J134" s="39">
        <f t="shared" si="10"/>
        <v>0</v>
      </c>
    </row>
    <row r="135" spans="1:10" x14ac:dyDescent="0.25">
      <c r="A135" s="40"/>
      <c r="J135" s="39">
        <f t="shared" si="10"/>
        <v>0</v>
      </c>
    </row>
    <row r="136" spans="1:10" x14ac:dyDescent="0.25">
      <c r="A136" s="40"/>
      <c r="J136" s="39">
        <f t="shared" si="10"/>
        <v>0</v>
      </c>
    </row>
    <row r="137" spans="1:10" x14ac:dyDescent="0.25">
      <c r="A137" s="40"/>
      <c r="J137" s="39">
        <f t="shared" si="10"/>
        <v>0</v>
      </c>
    </row>
    <row r="138" spans="1:10" x14ac:dyDescent="0.25">
      <c r="A138" s="40"/>
      <c r="J138" s="39">
        <f t="shared" si="10"/>
        <v>0</v>
      </c>
    </row>
    <row r="139" spans="1:10" x14ac:dyDescent="0.25">
      <c r="A139" s="40"/>
      <c r="J139" s="39">
        <f t="shared" si="10"/>
        <v>0</v>
      </c>
    </row>
    <row r="140" spans="1:10" x14ac:dyDescent="0.25">
      <c r="A140" s="40"/>
      <c r="J140" s="39">
        <f t="shared" si="10"/>
        <v>0</v>
      </c>
    </row>
    <row r="141" spans="1:10" x14ac:dyDescent="0.25">
      <c r="A141" s="40"/>
      <c r="J141" s="39">
        <f t="shared" si="10"/>
        <v>0</v>
      </c>
    </row>
    <row r="142" spans="1:10" x14ac:dyDescent="0.25">
      <c r="A142" s="40"/>
      <c r="J142" s="39">
        <f t="shared" si="10"/>
        <v>0</v>
      </c>
    </row>
    <row r="143" spans="1:10" x14ac:dyDescent="0.25">
      <c r="A143" s="40"/>
      <c r="J143" s="39">
        <f t="shared" si="10"/>
        <v>0</v>
      </c>
    </row>
    <row r="144" spans="1:10" x14ac:dyDescent="0.25">
      <c r="A144" s="40"/>
      <c r="J144" s="39">
        <f t="shared" si="10"/>
        <v>0</v>
      </c>
    </row>
    <row r="145" spans="1:10" x14ac:dyDescent="0.25">
      <c r="A145" s="40"/>
      <c r="J145" s="39">
        <f t="shared" si="10"/>
        <v>0</v>
      </c>
    </row>
    <row r="146" spans="1:10" x14ac:dyDescent="0.25">
      <c r="A146" s="40"/>
      <c r="J146" s="39">
        <f t="shared" ref="J146:J177" si="13">IF(C146="SELL",
    IF(E146&gt;0, -E146, E146),
    ABS(E146))</f>
        <v>0</v>
      </c>
    </row>
    <row r="147" spans="1:10" x14ac:dyDescent="0.25">
      <c r="A147" s="40"/>
      <c r="J147" s="39">
        <f t="shared" si="13"/>
        <v>0</v>
      </c>
    </row>
    <row r="148" spans="1:10" x14ac:dyDescent="0.25">
      <c r="A148" s="40"/>
      <c r="J148" s="39">
        <f t="shared" si="13"/>
        <v>0</v>
      </c>
    </row>
    <row r="149" spans="1:10" x14ac:dyDescent="0.25">
      <c r="A149" s="40"/>
      <c r="J149" s="39">
        <f t="shared" si="13"/>
        <v>0</v>
      </c>
    </row>
    <row r="150" spans="1:10" x14ac:dyDescent="0.25">
      <c r="A150" s="40"/>
      <c r="J150" s="39">
        <f t="shared" si="13"/>
        <v>0</v>
      </c>
    </row>
    <row r="151" spans="1:10" x14ac:dyDescent="0.25">
      <c r="A151" s="40"/>
      <c r="J151" s="39">
        <f t="shared" si="13"/>
        <v>0</v>
      </c>
    </row>
    <row r="152" spans="1:10" x14ac:dyDescent="0.25">
      <c r="A152" s="40"/>
      <c r="J152" s="39">
        <f t="shared" si="13"/>
        <v>0</v>
      </c>
    </row>
    <row r="153" spans="1:10" x14ac:dyDescent="0.25">
      <c r="A153" s="40"/>
      <c r="J153" s="39">
        <f t="shared" si="13"/>
        <v>0</v>
      </c>
    </row>
    <row r="154" spans="1:10" x14ac:dyDescent="0.25">
      <c r="A154" s="40"/>
      <c r="J154" s="39">
        <f t="shared" si="13"/>
        <v>0</v>
      </c>
    </row>
    <row r="155" spans="1:10" x14ac:dyDescent="0.25">
      <c r="A155" s="40"/>
      <c r="J155" s="39">
        <f t="shared" si="13"/>
        <v>0</v>
      </c>
    </row>
    <row r="156" spans="1:10" x14ac:dyDescent="0.25">
      <c r="A156" s="40"/>
      <c r="J156" s="39">
        <f t="shared" si="13"/>
        <v>0</v>
      </c>
    </row>
    <row r="157" spans="1:10" x14ac:dyDescent="0.25">
      <c r="A157" s="40"/>
      <c r="J157" s="39">
        <f t="shared" si="13"/>
        <v>0</v>
      </c>
    </row>
    <row r="158" spans="1:10" x14ac:dyDescent="0.25">
      <c r="A158" s="40"/>
      <c r="J158" s="39">
        <f t="shared" si="13"/>
        <v>0</v>
      </c>
    </row>
    <row r="159" spans="1:10" x14ac:dyDescent="0.25">
      <c r="A159" s="40"/>
      <c r="J159" s="39">
        <f t="shared" si="13"/>
        <v>0</v>
      </c>
    </row>
    <row r="160" spans="1:10" x14ac:dyDescent="0.25">
      <c r="A160" s="40"/>
      <c r="J160" s="39">
        <f t="shared" si="13"/>
        <v>0</v>
      </c>
    </row>
    <row r="161" spans="1:10" x14ac:dyDescent="0.25">
      <c r="A161" s="40"/>
      <c r="J161" s="39">
        <f t="shared" si="13"/>
        <v>0</v>
      </c>
    </row>
    <row r="162" spans="1:10" x14ac:dyDescent="0.25">
      <c r="A162" s="40"/>
      <c r="J162" s="39">
        <f t="shared" si="13"/>
        <v>0</v>
      </c>
    </row>
    <row r="163" spans="1:10" x14ac:dyDescent="0.25">
      <c r="A163" s="40"/>
      <c r="J163" s="39">
        <f t="shared" si="13"/>
        <v>0</v>
      </c>
    </row>
    <row r="164" spans="1:10" x14ac:dyDescent="0.25">
      <c r="A164" s="40"/>
      <c r="J164" s="39">
        <f t="shared" si="13"/>
        <v>0</v>
      </c>
    </row>
    <row r="165" spans="1:10" x14ac:dyDescent="0.25">
      <c r="A165" s="40"/>
      <c r="J165" s="39">
        <f t="shared" si="13"/>
        <v>0</v>
      </c>
    </row>
    <row r="166" spans="1:10" x14ac:dyDescent="0.25">
      <c r="A166" s="40"/>
      <c r="J166" s="39">
        <f t="shared" si="13"/>
        <v>0</v>
      </c>
    </row>
    <row r="167" spans="1:10" x14ac:dyDescent="0.25">
      <c r="A167" s="40"/>
      <c r="J167" s="39">
        <f t="shared" si="13"/>
        <v>0</v>
      </c>
    </row>
    <row r="168" spans="1:10" x14ac:dyDescent="0.25">
      <c r="A168" s="40"/>
      <c r="J168" s="39">
        <f t="shared" si="13"/>
        <v>0</v>
      </c>
    </row>
    <row r="169" spans="1:10" x14ac:dyDescent="0.25">
      <c r="A169" s="40"/>
      <c r="J169" s="39">
        <f t="shared" si="13"/>
        <v>0</v>
      </c>
    </row>
    <row r="170" spans="1:10" x14ac:dyDescent="0.25">
      <c r="A170" s="40"/>
      <c r="J170" s="39">
        <f t="shared" si="13"/>
        <v>0</v>
      </c>
    </row>
    <row r="171" spans="1:10" x14ac:dyDescent="0.25">
      <c r="A171" s="40"/>
      <c r="J171" s="39">
        <f t="shared" si="13"/>
        <v>0</v>
      </c>
    </row>
    <row r="172" spans="1:10" x14ac:dyDescent="0.25">
      <c r="A172" s="40"/>
      <c r="J172" s="39">
        <f t="shared" si="13"/>
        <v>0</v>
      </c>
    </row>
    <row r="173" spans="1:10" x14ac:dyDescent="0.25">
      <c r="A173" s="40"/>
      <c r="J173" s="39">
        <f t="shared" si="13"/>
        <v>0</v>
      </c>
    </row>
    <row r="174" spans="1:10" x14ac:dyDescent="0.25">
      <c r="A174" s="40"/>
      <c r="J174" s="39">
        <f t="shared" si="13"/>
        <v>0</v>
      </c>
    </row>
    <row r="175" spans="1:10" x14ac:dyDescent="0.25">
      <c r="A175" s="40"/>
      <c r="J175" s="39">
        <f t="shared" si="13"/>
        <v>0</v>
      </c>
    </row>
    <row r="176" spans="1:10" x14ac:dyDescent="0.25">
      <c r="A176" s="40"/>
      <c r="J176" s="39">
        <f t="shared" si="13"/>
        <v>0</v>
      </c>
    </row>
    <row r="177" spans="1:10" x14ac:dyDescent="0.25">
      <c r="A177" s="40"/>
      <c r="J177" s="39">
        <f t="shared" si="13"/>
        <v>0</v>
      </c>
    </row>
    <row r="178" spans="1:10" x14ac:dyDescent="0.25">
      <c r="A178" s="40"/>
      <c r="J178" s="39">
        <f t="shared" ref="J178:J209" si="14">IF(C178="SELL",
    IF(E178&gt;0, -E178, E178),
    ABS(E178))</f>
        <v>0</v>
      </c>
    </row>
    <row r="179" spans="1:10" x14ac:dyDescent="0.25">
      <c r="A179" s="40"/>
      <c r="J179" s="39">
        <f t="shared" si="14"/>
        <v>0</v>
      </c>
    </row>
    <row r="180" spans="1:10" x14ac:dyDescent="0.25">
      <c r="A180" s="40"/>
      <c r="J180" s="39">
        <f t="shared" si="14"/>
        <v>0</v>
      </c>
    </row>
    <row r="181" spans="1:10" x14ac:dyDescent="0.25">
      <c r="A181" s="40"/>
      <c r="J181" s="39">
        <f t="shared" si="14"/>
        <v>0</v>
      </c>
    </row>
    <row r="182" spans="1:10" x14ac:dyDescent="0.25">
      <c r="A182" s="40"/>
      <c r="J182" s="39">
        <f t="shared" si="14"/>
        <v>0</v>
      </c>
    </row>
    <row r="183" spans="1:10" x14ac:dyDescent="0.25">
      <c r="A183" s="40"/>
      <c r="J183" s="39">
        <f t="shared" si="14"/>
        <v>0</v>
      </c>
    </row>
    <row r="184" spans="1:10" x14ac:dyDescent="0.25">
      <c r="A184" s="40"/>
      <c r="J184" s="39">
        <f t="shared" si="14"/>
        <v>0</v>
      </c>
    </row>
    <row r="185" spans="1:10" x14ac:dyDescent="0.25">
      <c r="A185" s="40"/>
      <c r="J185" s="39">
        <f t="shared" si="14"/>
        <v>0</v>
      </c>
    </row>
    <row r="186" spans="1:10" x14ac:dyDescent="0.25">
      <c r="A186" s="40"/>
      <c r="J186" s="39">
        <f t="shared" si="14"/>
        <v>0</v>
      </c>
    </row>
    <row r="187" spans="1:10" x14ac:dyDescent="0.25">
      <c r="A187" s="40"/>
      <c r="J187" s="39">
        <f t="shared" si="14"/>
        <v>0</v>
      </c>
    </row>
    <row r="188" spans="1:10" x14ac:dyDescent="0.25">
      <c r="A188" s="40"/>
      <c r="J188" s="39">
        <f t="shared" si="14"/>
        <v>0</v>
      </c>
    </row>
    <row r="189" spans="1:10" x14ac:dyDescent="0.25">
      <c r="A189" s="40"/>
      <c r="J189" s="39">
        <f t="shared" si="14"/>
        <v>0</v>
      </c>
    </row>
    <row r="190" spans="1:10" x14ac:dyDescent="0.25">
      <c r="A190" s="40"/>
      <c r="J190" s="39">
        <f t="shared" si="14"/>
        <v>0</v>
      </c>
    </row>
    <row r="191" spans="1:10" x14ac:dyDescent="0.25">
      <c r="A191" s="40"/>
      <c r="J191" s="39">
        <f t="shared" si="14"/>
        <v>0</v>
      </c>
    </row>
    <row r="192" spans="1:10" x14ac:dyDescent="0.25">
      <c r="A192" s="40"/>
      <c r="J192" s="39">
        <f t="shared" si="14"/>
        <v>0</v>
      </c>
    </row>
    <row r="193" spans="1:10" x14ac:dyDescent="0.25">
      <c r="A193" s="40"/>
      <c r="J193" s="39">
        <f t="shared" si="14"/>
        <v>0</v>
      </c>
    </row>
    <row r="194" spans="1:10" x14ac:dyDescent="0.25">
      <c r="A194" s="40"/>
      <c r="J194" s="39">
        <f t="shared" si="14"/>
        <v>0</v>
      </c>
    </row>
    <row r="195" spans="1:10" x14ac:dyDescent="0.25">
      <c r="A195" s="40"/>
      <c r="J195" s="39">
        <f t="shared" si="14"/>
        <v>0</v>
      </c>
    </row>
    <row r="196" spans="1:10" x14ac:dyDescent="0.25">
      <c r="A196" s="40"/>
      <c r="J196" s="39">
        <f t="shared" si="14"/>
        <v>0</v>
      </c>
    </row>
    <row r="197" spans="1:10" x14ac:dyDescent="0.25">
      <c r="A197" s="40"/>
      <c r="J197" s="39">
        <f t="shared" si="14"/>
        <v>0</v>
      </c>
    </row>
    <row r="198" spans="1:10" x14ac:dyDescent="0.25">
      <c r="A198" s="40"/>
      <c r="J198" s="39">
        <f t="shared" si="14"/>
        <v>0</v>
      </c>
    </row>
    <row r="199" spans="1:10" x14ac:dyDescent="0.25">
      <c r="A199" s="40"/>
      <c r="J199" s="39">
        <f t="shared" si="14"/>
        <v>0</v>
      </c>
    </row>
    <row r="200" spans="1:10" x14ac:dyDescent="0.25">
      <c r="A200" s="40"/>
      <c r="J200" s="39">
        <f t="shared" si="14"/>
        <v>0</v>
      </c>
    </row>
    <row r="201" spans="1:10" x14ac:dyDescent="0.25">
      <c r="A201" s="40"/>
      <c r="J201" s="39">
        <f t="shared" si="14"/>
        <v>0</v>
      </c>
    </row>
    <row r="202" spans="1:10" x14ac:dyDescent="0.25">
      <c r="A202" s="40"/>
      <c r="J202" s="39">
        <f t="shared" si="14"/>
        <v>0</v>
      </c>
    </row>
    <row r="203" spans="1:10" x14ac:dyDescent="0.25">
      <c r="A203" s="40"/>
      <c r="J203" s="39">
        <f t="shared" si="14"/>
        <v>0</v>
      </c>
    </row>
    <row r="204" spans="1:10" x14ac:dyDescent="0.25">
      <c r="A204" s="40"/>
      <c r="J204" s="39">
        <f t="shared" si="14"/>
        <v>0</v>
      </c>
    </row>
    <row r="205" spans="1:10" x14ac:dyDescent="0.25">
      <c r="A205" s="40"/>
      <c r="J205" s="39">
        <f t="shared" si="14"/>
        <v>0</v>
      </c>
    </row>
    <row r="206" spans="1:10" x14ac:dyDescent="0.25">
      <c r="A206" s="40"/>
      <c r="J206" s="39">
        <f t="shared" si="14"/>
        <v>0</v>
      </c>
    </row>
    <row r="207" spans="1:10" x14ac:dyDescent="0.25">
      <c r="A207" s="40"/>
      <c r="J207" s="39">
        <f t="shared" si="14"/>
        <v>0</v>
      </c>
    </row>
    <row r="208" spans="1:10" x14ac:dyDescent="0.25">
      <c r="A208" s="40"/>
      <c r="J208" s="39">
        <f t="shared" si="14"/>
        <v>0</v>
      </c>
    </row>
    <row r="209" spans="1:10" x14ac:dyDescent="0.25">
      <c r="A209" s="40"/>
      <c r="J209" s="39">
        <f t="shared" si="14"/>
        <v>0</v>
      </c>
    </row>
    <row r="210" spans="1:10" x14ac:dyDescent="0.25">
      <c r="A210" s="40"/>
      <c r="J210" s="39">
        <f t="shared" ref="J210:J241" si="15">IF(C210="SELL",
    IF(E210&gt;0, -E210, E210),
    ABS(E210))</f>
        <v>0</v>
      </c>
    </row>
    <row r="211" spans="1:10" x14ac:dyDescent="0.25">
      <c r="A211" s="40"/>
      <c r="J211" s="39">
        <f t="shared" si="15"/>
        <v>0</v>
      </c>
    </row>
    <row r="212" spans="1:10" x14ac:dyDescent="0.25">
      <c r="A212" s="40"/>
      <c r="J212" s="39">
        <f t="shared" si="15"/>
        <v>0</v>
      </c>
    </row>
    <row r="213" spans="1:10" x14ac:dyDescent="0.25">
      <c r="A213" s="40"/>
      <c r="J213" s="39">
        <f t="shared" si="15"/>
        <v>0</v>
      </c>
    </row>
    <row r="214" spans="1:10" x14ac:dyDescent="0.25">
      <c r="A214" s="40"/>
      <c r="J214" s="39">
        <f t="shared" si="15"/>
        <v>0</v>
      </c>
    </row>
    <row r="215" spans="1:10" x14ac:dyDescent="0.25">
      <c r="A215" s="40"/>
      <c r="J215" s="39">
        <f t="shared" si="15"/>
        <v>0</v>
      </c>
    </row>
    <row r="216" spans="1:10" x14ac:dyDescent="0.25">
      <c r="A216" s="40"/>
      <c r="J216" s="39">
        <f t="shared" si="15"/>
        <v>0</v>
      </c>
    </row>
    <row r="217" spans="1:10" x14ac:dyDescent="0.25">
      <c r="A217" s="40"/>
      <c r="J217" s="39">
        <f t="shared" si="15"/>
        <v>0</v>
      </c>
    </row>
    <row r="218" spans="1:10" x14ac:dyDescent="0.25">
      <c r="A218" s="40"/>
      <c r="J218" s="39">
        <f t="shared" si="15"/>
        <v>0</v>
      </c>
    </row>
    <row r="219" spans="1:10" x14ac:dyDescent="0.25">
      <c r="A219" s="40"/>
      <c r="J219" s="39">
        <f t="shared" si="15"/>
        <v>0</v>
      </c>
    </row>
    <row r="220" spans="1:10" x14ac:dyDescent="0.25">
      <c r="A220" s="40"/>
      <c r="J220" s="39">
        <f t="shared" si="15"/>
        <v>0</v>
      </c>
    </row>
    <row r="221" spans="1:10" x14ac:dyDescent="0.25">
      <c r="A221" s="40"/>
      <c r="J221" s="39">
        <f t="shared" si="15"/>
        <v>0</v>
      </c>
    </row>
    <row r="222" spans="1:10" x14ac:dyDescent="0.25">
      <c r="A222" s="40"/>
      <c r="J222" s="39">
        <f t="shared" si="15"/>
        <v>0</v>
      </c>
    </row>
    <row r="223" spans="1:10" x14ac:dyDescent="0.25">
      <c r="A223" s="40"/>
      <c r="J223" s="39">
        <f t="shared" si="15"/>
        <v>0</v>
      </c>
    </row>
    <row r="224" spans="1:10" x14ac:dyDescent="0.25">
      <c r="A224" s="40"/>
      <c r="J224" s="39">
        <f t="shared" si="15"/>
        <v>0</v>
      </c>
    </row>
    <row r="225" spans="1:10" x14ac:dyDescent="0.25">
      <c r="A225" s="40"/>
      <c r="J225" s="39">
        <f t="shared" si="15"/>
        <v>0</v>
      </c>
    </row>
    <row r="226" spans="1:10" x14ac:dyDescent="0.25">
      <c r="A226" s="40"/>
      <c r="J226" s="39">
        <f t="shared" si="15"/>
        <v>0</v>
      </c>
    </row>
    <row r="227" spans="1:10" x14ac:dyDescent="0.25">
      <c r="A227" s="40"/>
      <c r="J227" s="39">
        <f t="shared" si="15"/>
        <v>0</v>
      </c>
    </row>
    <row r="228" spans="1:10" x14ac:dyDescent="0.25">
      <c r="A228" s="40"/>
      <c r="J228" s="39">
        <f t="shared" si="15"/>
        <v>0</v>
      </c>
    </row>
    <row r="229" spans="1:10" x14ac:dyDescent="0.25">
      <c r="A229" s="40"/>
      <c r="J229" s="39">
        <f t="shared" si="15"/>
        <v>0</v>
      </c>
    </row>
    <row r="230" spans="1:10" x14ac:dyDescent="0.25">
      <c r="A230" s="40"/>
      <c r="J230" s="39">
        <f t="shared" si="15"/>
        <v>0</v>
      </c>
    </row>
    <row r="231" spans="1:10" x14ac:dyDescent="0.25">
      <c r="A231" s="40"/>
      <c r="J231" s="39">
        <f t="shared" si="15"/>
        <v>0</v>
      </c>
    </row>
    <row r="232" spans="1:10" x14ac:dyDescent="0.25">
      <c r="A232" s="40"/>
      <c r="J232" s="39">
        <f t="shared" si="15"/>
        <v>0</v>
      </c>
    </row>
    <row r="233" spans="1:10" x14ac:dyDescent="0.25">
      <c r="A233" s="40"/>
      <c r="J233" s="39">
        <f t="shared" si="15"/>
        <v>0</v>
      </c>
    </row>
    <row r="234" spans="1:10" x14ac:dyDescent="0.25">
      <c r="A234" s="40"/>
      <c r="J234" s="39">
        <f t="shared" si="15"/>
        <v>0</v>
      </c>
    </row>
    <row r="235" spans="1:10" x14ac:dyDescent="0.25">
      <c r="A235" s="40"/>
      <c r="J235" s="39">
        <f t="shared" si="15"/>
        <v>0</v>
      </c>
    </row>
    <row r="236" spans="1:10" x14ac:dyDescent="0.25">
      <c r="A236" s="40"/>
      <c r="J236" s="39">
        <f t="shared" si="15"/>
        <v>0</v>
      </c>
    </row>
    <row r="237" spans="1:10" x14ac:dyDescent="0.25">
      <c r="A237" s="40"/>
      <c r="J237" s="39">
        <f t="shared" si="15"/>
        <v>0</v>
      </c>
    </row>
    <row r="238" spans="1:10" x14ac:dyDescent="0.25">
      <c r="A238" s="40"/>
      <c r="J238" s="39">
        <f t="shared" si="15"/>
        <v>0</v>
      </c>
    </row>
    <row r="239" spans="1:10" x14ac:dyDescent="0.25">
      <c r="A239" s="40"/>
      <c r="J239" s="39">
        <f t="shared" si="15"/>
        <v>0</v>
      </c>
    </row>
    <row r="240" spans="1:10" x14ac:dyDescent="0.25">
      <c r="A240" s="40"/>
      <c r="J240" s="39">
        <f t="shared" si="15"/>
        <v>0</v>
      </c>
    </row>
    <row r="241" spans="1:10" x14ac:dyDescent="0.25">
      <c r="A241" s="40"/>
      <c r="J241" s="39">
        <f t="shared" si="15"/>
        <v>0</v>
      </c>
    </row>
    <row r="242" spans="1:10" x14ac:dyDescent="0.25">
      <c r="A242" s="40"/>
      <c r="J242" s="39">
        <f t="shared" ref="J242:J254" si="16">IF(C242="SELL",
    IF(E242&gt;0, -E242, E242),
    ABS(E242))</f>
        <v>0</v>
      </c>
    </row>
    <row r="243" spans="1:10" x14ac:dyDescent="0.25">
      <c r="A243" s="40"/>
      <c r="J243" s="39">
        <f t="shared" si="16"/>
        <v>0</v>
      </c>
    </row>
    <row r="244" spans="1:10" x14ac:dyDescent="0.25">
      <c r="A244" s="40"/>
      <c r="J244" s="39">
        <f t="shared" si="16"/>
        <v>0</v>
      </c>
    </row>
    <row r="245" spans="1:10" x14ac:dyDescent="0.25">
      <c r="A245" s="40"/>
      <c r="J245" s="39">
        <f t="shared" si="16"/>
        <v>0</v>
      </c>
    </row>
    <row r="246" spans="1:10" x14ac:dyDescent="0.25">
      <c r="A246" s="40"/>
      <c r="J246" s="39">
        <f t="shared" si="16"/>
        <v>0</v>
      </c>
    </row>
    <row r="247" spans="1:10" x14ac:dyDescent="0.25">
      <c r="A247" s="40"/>
      <c r="J247" s="39">
        <f t="shared" si="16"/>
        <v>0</v>
      </c>
    </row>
    <row r="248" spans="1:10" x14ac:dyDescent="0.25">
      <c r="A248" s="40"/>
      <c r="J248" s="39">
        <f t="shared" si="16"/>
        <v>0</v>
      </c>
    </row>
    <row r="249" spans="1:10" x14ac:dyDescent="0.25">
      <c r="A249" s="40"/>
      <c r="J249" s="39">
        <f t="shared" si="16"/>
        <v>0</v>
      </c>
    </row>
    <row r="250" spans="1:10" x14ac:dyDescent="0.25">
      <c r="A250" s="40"/>
      <c r="J250" s="39">
        <f t="shared" si="16"/>
        <v>0</v>
      </c>
    </row>
    <row r="251" spans="1:10" x14ac:dyDescent="0.25">
      <c r="A251" s="40"/>
      <c r="J251" s="39">
        <f t="shared" si="16"/>
        <v>0</v>
      </c>
    </row>
    <row r="252" spans="1:10" x14ac:dyDescent="0.25">
      <c r="A252" s="40"/>
      <c r="J252" s="39">
        <f t="shared" si="16"/>
        <v>0</v>
      </c>
    </row>
    <row r="253" spans="1:10" x14ac:dyDescent="0.25">
      <c r="A253" s="40"/>
      <c r="J253" s="39">
        <f t="shared" si="16"/>
        <v>0</v>
      </c>
    </row>
    <row r="254" spans="1:10" x14ac:dyDescent="0.25">
      <c r="A254" s="40"/>
      <c r="J254" s="39">
        <f t="shared" si="16"/>
        <v>0</v>
      </c>
    </row>
    <row r="255" spans="1:10" x14ac:dyDescent="0.25">
      <c r="A255" s="40"/>
    </row>
    <row r="256" spans="1:10" x14ac:dyDescent="0.25">
      <c r="A256" s="40"/>
    </row>
    <row r="257" spans="1:1" x14ac:dyDescent="0.25">
      <c r="A257" s="40"/>
    </row>
    <row r="258" spans="1:1" x14ac:dyDescent="0.25">
      <c r="A258" s="40"/>
    </row>
    <row r="259" spans="1:1" x14ac:dyDescent="0.25">
      <c r="A259" s="40"/>
    </row>
    <row r="260" spans="1:1" x14ac:dyDescent="0.25">
      <c r="A260" s="40"/>
    </row>
    <row r="261" spans="1:1" x14ac:dyDescent="0.25">
      <c r="A261" s="40"/>
    </row>
    <row r="262" spans="1:1" x14ac:dyDescent="0.25">
      <c r="A262" s="40"/>
    </row>
    <row r="263" spans="1:1" x14ac:dyDescent="0.25">
      <c r="A263" s="40"/>
    </row>
    <row r="264" spans="1:1" x14ac:dyDescent="0.25">
      <c r="A264" s="40"/>
    </row>
    <row r="265" spans="1:1" x14ac:dyDescent="0.25">
      <c r="A265" s="40"/>
    </row>
    <row r="266" spans="1:1" x14ac:dyDescent="0.25">
      <c r="A266" s="40"/>
    </row>
    <row r="267" spans="1:1" x14ac:dyDescent="0.25">
      <c r="A267" s="40"/>
    </row>
    <row r="268" spans="1:1" x14ac:dyDescent="0.25">
      <c r="A268" s="40"/>
    </row>
    <row r="269" spans="1:1" x14ac:dyDescent="0.25">
      <c r="A269" s="40"/>
    </row>
    <row r="270" spans="1:1" x14ac:dyDescent="0.25">
      <c r="A270" s="40"/>
    </row>
    <row r="271" spans="1:1" x14ac:dyDescent="0.25">
      <c r="A271" s="40"/>
    </row>
    <row r="272" spans="1:1" x14ac:dyDescent="0.25">
      <c r="A272" s="40"/>
    </row>
    <row r="273" spans="1:1" x14ac:dyDescent="0.25">
      <c r="A273" s="40"/>
    </row>
    <row r="274" spans="1:1" x14ac:dyDescent="0.25">
      <c r="A274" s="40"/>
    </row>
    <row r="275" spans="1:1" x14ac:dyDescent="0.25">
      <c r="A275" s="40"/>
    </row>
    <row r="276" spans="1:1" x14ac:dyDescent="0.25">
      <c r="A276" s="40"/>
    </row>
    <row r="277" spans="1:1" x14ac:dyDescent="0.25">
      <c r="A277" s="40"/>
    </row>
    <row r="278" spans="1:1" x14ac:dyDescent="0.25">
      <c r="A278" s="40"/>
    </row>
    <row r="279" spans="1:1" x14ac:dyDescent="0.25">
      <c r="A279" s="40"/>
    </row>
    <row r="280" spans="1:1" x14ac:dyDescent="0.25">
      <c r="A280" s="40"/>
    </row>
    <row r="281" spans="1:1" x14ac:dyDescent="0.25">
      <c r="A281" s="40"/>
    </row>
    <row r="282" spans="1:1" x14ac:dyDescent="0.25">
      <c r="A282" s="40"/>
    </row>
    <row r="283" spans="1:1" x14ac:dyDescent="0.25">
      <c r="A283" s="40"/>
    </row>
    <row r="284" spans="1:1" x14ac:dyDescent="0.25">
      <c r="A284" s="40"/>
    </row>
    <row r="285" spans="1:1" x14ac:dyDescent="0.25">
      <c r="A285" s="40"/>
    </row>
    <row r="286" spans="1:1" x14ac:dyDescent="0.25">
      <c r="A286" s="40"/>
    </row>
    <row r="287" spans="1:1" x14ac:dyDescent="0.25">
      <c r="A287" s="40"/>
    </row>
    <row r="288" spans="1:1" x14ac:dyDescent="0.25">
      <c r="A288" s="40"/>
    </row>
    <row r="289" spans="1:1" x14ac:dyDescent="0.25">
      <c r="A289" s="40"/>
    </row>
    <row r="290" spans="1:1" x14ac:dyDescent="0.25">
      <c r="A290" s="40"/>
    </row>
    <row r="291" spans="1:1" x14ac:dyDescent="0.25">
      <c r="A291" s="40"/>
    </row>
    <row r="292" spans="1:1" x14ac:dyDescent="0.25">
      <c r="A292" s="40"/>
    </row>
    <row r="293" spans="1:1" x14ac:dyDescent="0.25">
      <c r="A293" s="40"/>
    </row>
    <row r="294" spans="1:1" x14ac:dyDescent="0.25">
      <c r="A294" s="40"/>
    </row>
    <row r="295" spans="1:1" x14ac:dyDescent="0.25">
      <c r="A295" s="40"/>
    </row>
    <row r="296" spans="1:1" x14ac:dyDescent="0.25">
      <c r="A296" s="40"/>
    </row>
    <row r="297" spans="1:1" x14ac:dyDescent="0.25">
      <c r="A297" s="40"/>
    </row>
    <row r="298" spans="1:1" x14ac:dyDescent="0.25">
      <c r="A298" s="40"/>
    </row>
    <row r="299" spans="1:1" x14ac:dyDescent="0.25">
      <c r="A299" s="40"/>
    </row>
    <row r="300" spans="1:1" x14ac:dyDescent="0.25">
      <c r="A300" s="40"/>
    </row>
    <row r="301" spans="1:1" x14ac:dyDescent="0.25">
      <c r="A301" s="40"/>
    </row>
    <row r="302" spans="1:1" x14ac:dyDescent="0.25">
      <c r="A302" s="40"/>
    </row>
    <row r="303" spans="1:1" x14ac:dyDescent="0.25">
      <c r="A303" s="40"/>
    </row>
    <row r="304" spans="1:1" x14ac:dyDescent="0.25">
      <c r="A304" s="40"/>
    </row>
    <row r="305" spans="1:1" x14ac:dyDescent="0.25">
      <c r="A305" s="40"/>
    </row>
    <row r="306" spans="1:1" x14ac:dyDescent="0.25">
      <c r="A306" s="40"/>
    </row>
    <row r="307" spans="1:1" x14ac:dyDescent="0.25">
      <c r="A307" s="40"/>
    </row>
    <row r="308" spans="1:1" x14ac:dyDescent="0.25">
      <c r="A308" s="40"/>
    </row>
    <row r="309" spans="1:1" x14ac:dyDescent="0.25">
      <c r="A309" s="40"/>
    </row>
    <row r="310" spans="1:1" x14ac:dyDescent="0.25">
      <c r="A310" s="40"/>
    </row>
    <row r="311" spans="1:1" x14ac:dyDescent="0.25">
      <c r="A311" s="40"/>
    </row>
    <row r="312" spans="1:1" x14ac:dyDescent="0.25">
      <c r="A312" s="40"/>
    </row>
    <row r="313" spans="1:1" x14ac:dyDescent="0.25">
      <c r="A313" s="40"/>
    </row>
    <row r="314" spans="1:1" x14ac:dyDescent="0.25">
      <c r="A314" s="40"/>
    </row>
    <row r="315" spans="1:1" x14ac:dyDescent="0.25">
      <c r="A315" s="40"/>
    </row>
    <row r="316" spans="1:1" x14ac:dyDescent="0.25">
      <c r="A316" s="40"/>
    </row>
    <row r="317" spans="1:1" x14ac:dyDescent="0.25">
      <c r="A317" s="40"/>
    </row>
    <row r="318" spans="1:1" x14ac:dyDescent="0.25">
      <c r="A318" s="40"/>
    </row>
    <row r="319" spans="1:1" x14ac:dyDescent="0.25">
      <c r="A319" s="40"/>
    </row>
    <row r="320" spans="1:1" x14ac:dyDescent="0.25">
      <c r="A320" s="40"/>
    </row>
    <row r="321" spans="1:1" x14ac:dyDescent="0.25">
      <c r="A321" s="40"/>
    </row>
    <row r="322" spans="1:1" x14ac:dyDescent="0.25">
      <c r="A322" s="40"/>
    </row>
    <row r="323" spans="1:1" x14ac:dyDescent="0.25">
      <c r="A323" s="40"/>
    </row>
    <row r="324" spans="1:1" x14ac:dyDescent="0.25">
      <c r="A324" s="40"/>
    </row>
    <row r="325" spans="1:1" x14ac:dyDescent="0.25">
      <c r="A325" s="40"/>
    </row>
    <row r="326" spans="1:1" x14ac:dyDescent="0.25">
      <c r="A326" s="40"/>
    </row>
    <row r="327" spans="1:1" x14ac:dyDescent="0.25">
      <c r="A327" s="40"/>
    </row>
    <row r="328" spans="1:1" x14ac:dyDescent="0.25">
      <c r="A328" s="40"/>
    </row>
    <row r="329" spans="1:1" x14ac:dyDescent="0.25">
      <c r="A329" s="40"/>
    </row>
    <row r="330" spans="1:1" x14ac:dyDescent="0.25">
      <c r="A330" s="40"/>
    </row>
    <row r="331" spans="1:1" x14ac:dyDescent="0.25">
      <c r="A331" s="40"/>
    </row>
    <row r="332" spans="1:1" x14ac:dyDescent="0.25">
      <c r="A332" s="40"/>
    </row>
    <row r="333" spans="1:1" x14ac:dyDescent="0.25">
      <c r="A333" s="40"/>
    </row>
    <row r="334" spans="1:1" x14ac:dyDescent="0.25">
      <c r="A334" s="40"/>
    </row>
    <row r="335" spans="1:1" x14ac:dyDescent="0.25">
      <c r="A335" s="40"/>
    </row>
    <row r="336" spans="1:1" x14ac:dyDescent="0.25">
      <c r="A336" s="40"/>
    </row>
    <row r="337" spans="1:1" x14ac:dyDescent="0.25">
      <c r="A337" s="40"/>
    </row>
    <row r="338" spans="1:1" x14ac:dyDescent="0.25">
      <c r="A338" s="40"/>
    </row>
    <row r="339" spans="1:1" x14ac:dyDescent="0.25">
      <c r="A339" s="40"/>
    </row>
    <row r="340" spans="1:1" x14ac:dyDescent="0.25">
      <c r="A340" s="40"/>
    </row>
    <row r="341" spans="1:1" x14ac:dyDescent="0.25">
      <c r="A341" s="40"/>
    </row>
    <row r="342" spans="1:1" x14ac:dyDescent="0.25">
      <c r="A342" s="40"/>
    </row>
    <row r="343" spans="1:1" x14ac:dyDescent="0.25">
      <c r="A343" s="40"/>
    </row>
    <row r="344" spans="1:1" x14ac:dyDescent="0.25">
      <c r="A344" s="40"/>
    </row>
    <row r="345" spans="1:1" x14ac:dyDescent="0.25">
      <c r="A345" s="40"/>
    </row>
    <row r="346" spans="1:1" x14ac:dyDescent="0.25">
      <c r="A346" s="40"/>
    </row>
    <row r="347" spans="1:1" x14ac:dyDescent="0.25">
      <c r="A347" s="40"/>
    </row>
    <row r="348" spans="1:1" x14ac:dyDescent="0.25">
      <c r="A348" s="40"/>
    </row>
    <row r="349" spans="1:1" x14ac:dyDescent="0.25">
      <c r="A349" s="40"/>
    </row>
    <row r="350" spans="1:1" x14ac:dyDescent="0.25">
      <c r="A350" s="40"/>
    </row>
    <row r="351" spans="1:1" x14ac:dyDescent="0.25">
      <c r="A351" s="40"/>
    </row>
    <row r="352" spans="1:1" x14ac:dyDescent="0.25">
      <c r="A352" s="40"/>
    </row>
    <row r="353" spans="1:1" x14ac:dyDescent="0.25">
      <c r="A353" s="40"/>
    </row>
    <row r="354" spans="1:1" x14ac:dyDescent="0.25">
      <c r="A354" s="40"/>
    </row>
    <row r="355" spans="1:1" x14ac:dyDescent="0.25">
      <c r="A355" s="40"/>
    </row>
    <row r="356" spans="1:1" x14ac:dyDescent="0.25">
      <c r="A356" s="40"/>
    </row>
    <row r="357" spans="1:1" x14ac:dyDescent="0.25">
      <c r="A357" s="40"/>
    </row>
    <row r="358" spans="1:1" x14ac:dyDescent="0.25">
      <c r="A358" s="40"/>
    </row>
    <row r="359" spans="1:1" x14ac:dyDescent="0.25">
      <c r="A359" s="40"/>
    </row>
    <row r="360" spans="1:1" x14ac:dyDescent="0.25">
      <c r="A360" s="40"/>
    </row>
    <row r="361" spans="1:1" x14ac:dyDescent="0.25">
      <c r="A361" s="40"/>
    </row>
    <row r="362" spans="1:1" x14ac:dyDescent="0.25">
      <c r="A362" s="40"/>
    </row>
    <row r="363" spans="1:1" x14ac:dyDescent="0.25">
      <c r="A363" s="40"/>
    </row>
    <row r="364" spans="1:1" x14ac:dyDescent="0.25">
      <c r="A364" s="40"/>
    </row>
    <row r="365" spans="1:1" x14ac:dyDescent="0.25">
      <c r="A365" s="40"/>
    </row>
    <row r="366" spans="1:1" x14ac:dyDescent="0.25">
      <c r="A366" s="40"/>
    </row>
    <row r="367" spans="1:1" x14ac:dyDescent="0.25">
      <c r="A367" s="40"/>
    </row>
    <row r="368" spans="1:1" x14ac:dyDescent="0.25">
      <c r="A368" s="40"/>
    </row>
    <row r="369" spans="1:1" x14ac:dyDescent="0.25">
      <c r="A369" s="40"/>
    </row>
    <row r="370" spans="1:1" x14ac:dyDescent="0.25">
      <c r="A370" s="40"/>
    </row>
    <row r="371" spans="1:1" x14ac:dyDescent="0.25">
      <c r="A371" s="40"/>
    </row>
    <row r="372" spans="1:1" x14ac:dyDescent="0.25">
      <c r="A372" s="40"/>
    </row>
    <row r="373" spans="1:1" x14ac:dyDescent="0.25">
      <c r="A373" s="40"/>
    </row>
    <row r="374" spans="1:1" x14ac:dyDescent="0.25">
      <c r="A374" s="40"/>
    </row>
    <row r="375" spans="1:1" x14ac:dyDescent="0.25">
      <c r="A375" s="40"/>
    </row>
    <row r="376" spans="1:1" x14ac:dyDescent="0.25">
      <c r="A376" s="40"/>
    </row>
    <row r="377" spans="1:1" x14ac:dyDescent="0.25">
      <c r="A377" s="40"/>
    </row>
    <row r="378" spans="1:1" x14ac:dyDescent="0.25">
      <c r="A378" s="40"/>
    </row>
    <row r="379" spans="1:1" x14ac:dyDescent="0.25">
      <c r="A379" s="40"/>
    </row>
    <row r="380" spans="1:1" x14ac:dyDescent="0.25">
      <c r="A380" s="40"/>
    </row>
    <row r="381" spans="1:1" x14ac:dyDescent="0.25">
      <c r="A381" s="40"/>
    </row>
    <row r="382" spans="1:1" x14ac:dyDescent="0.25">
      <c r="A382" s="40"/>
    </row>
    <row r="383" spans="1:1" x14ac:dyDescent="0.25">
      <c r="A383" s="40"/>
    </row>
    <row r="384" spans="1:1" x14ac:dyDescent="0.25">
      <c r="A384" s="40"/>
    </row>
    <row r="385" spans="1:1" x14ac:dyDescent="0.25">
      <c r="A385" s="40"/>
    </row>
    <row r="386" spans="1:1" x14ac:dyDescent="0.25">
      <c r="A386" s="40"/>
    </row>
    <row r="387" spans="1:1" x14ac:dyDescent="0.25">
      <c r="A387" s="40"/>
    </row>
    <row r="388" spans="1:1" x14ac:dyDescent="0.25">
      <c r="A388" s="40"/>
    </row>
    <row r="389" spans="1:1" x14ac:dyDescent="0.25">
      <c r="A389" s="40"/>
    </row>
    <row r="390" spans="1:1" x14ac:dyDescent="0.25">
      <c r="A390" s="40"/>
    </row>
    <row r="391" spans="1:1" x14ac:dyDescent="0.25">
      <c r="A391" s="40"/>
    </row>
    <row r="392" spans="1:1" x14ac:dyDescent="0.25">
      <c r="A392" s="40"/>
    </row>
    <row r="393" spans="1:1" x14ac:dyDescent="0.25">
      <c r="A393" s="40"/>
    </row>
    <row r="394" spans="1:1" x14ac:dyDescent="0.25">
      <c r="A394" s="40"/>
    </row>
    <row r="395" spans="1:1" x14ac:dyDescent="0.25">
      <c r="A395" s="40"/>
    </row>
    <row r="396" spans="1:1" x14ac:dyDescent="0.25">
      <c r="A396" s="40"/>
    </row>
    <row r="397" spans="1:1" x14ac:dyDescent="0.25">
      <c r="A397" s="40"/>
    </row>
    <row r="398" spans="1:1" x14ac:dyDescent="0.25">
      <c r="A398" s="40"/>
    </row>
    <row r="399" spans="1:1" x14ac:dyDescent="0.25">
      <c r="A399" s="40"/>
    </row>
    <row r="400" spans="1:1" x14ac:dyDescent="0.25">
      <c r="A400" s="40"/>
    </row>
    <row r="401" spans="1:1" x14ac:dyDescent="0.25">
      <c r="A401" s="40"/>
    </row>
    <row r="402" spans="1:1" x14ac:dyDescent="0.25">
      <c r="A402" s="40"/>
    </row>
    <row r="403" spans="1:1" x14ac:dyDescent="0.25">
      <c r="A403" s="40"/>
    </row>
    <row r="404" spans="1:1" x14ac:dyDescent="0.25">
      <c r="A404" s="40"/>
    </row>
    <row r="405" spans="1:1" x14ac:dyDescent="0.25">
      <c r="A405" s="40"/>
    </row>
    <row r="406" spans="1:1" x14ac:dyDescent="0.25">
      <c r="A406" s="40"/>
    </row>
    <row r="407" spans="1:1" x14ac:dyDescent="0.25">
      <c r="A407" s="40"/>
    </row>
    <row r="408" spans="1:1" x14ac:dyDescent="0.25">
      <c r="A408" s="40"/>
    </row>
    <row r="409" spans="1:1" x14ac:dyDescent="0.25">
      <c r="A409" s="40"/>
    </row>
    <row r="410" spans="1:1" x14ac:dyDescent="0.25">
      <c r="A410" s="40"/>
    </row>
    <row r="411" spans="1:1" x14ac:dyDescent="0.25">
      <c r="A411" s="40"/>
    </row>
    <row r="412" spans="1:1" x14ac:dyDescent="0.25">
      <c r="A412" s="40"/>
    </row>
    <row r="413" spans="1:1" x14ac:dyDescent="0.25">
      <c r="A413" s="40"/>
    </row>
    <row r="414" spans="1:1" x14ac:dyDescent="0.25">
      <c r="A414" s="40"/>
    </row>
    <row r="415" spans="1:1" x14ac:dyDescent="0.25">
      <c r="A415" s="40"/>
    </row>
    <row r="416" spans="1:1" x14ac:dyDescent="0.25">
      <c r="A416" s="40"/>
    </row>
    <row r="417" spans="1:1" x14ac:dyDescent="0.25">
      <c r="A417" s="40"/>
    </row>
    <row r="418" spans="1:1" x14ac:dyDescent="0.25">
      <c r="A418" s="40"/>
    </row>
    <row r="419" spans="1:1" x14ac:dyDescent="0.25">
      <c r="A419" s="40"/>
    </row>
    <row r="420" spans="1:1" x14ac:dyDescent="0.25">
      <c r="A420" s="40"/>
    </row>
    <row r="421" spans="1:1" x14ac:dyDescent="0.25">
      <c r="A421" s="40"/>
    </row>
    <row r="422" spans="1:1" x14ac:dyDescent="0.25">
      <c r="A422" s="40"/>
    </row>
    <row r="423" spans="1:1" x14ac:dyDescent="0.25">
      <c r="A423" s="40"/>
    </row>
    <row r="424" spans="1:1" x14ac:dyDescent="0.25">
      <c r="A424" s="40"/>
    </row>
    <row r="425" spans="1:1" x14ac:dyDescent="0.25">
      <c r="A425" s="40"/>
    </row>
    <row r="426" spans="1:1" x14ac:dyDescent="0.25">
      <c r="A426" s="40"/>
    </row>
    <row r="427" spans="1:1" x14ac:dyDescent="0.25">
      <c r="A427" s="40"/>
    </row>
    <row r="428" spans="1:1" x14ac:dyDescent="0.25">
      <c r="A428" s="40"/>
    </row>
    <row r="429" spans="1:1" x14ac:dyDescent="0.25">
      <c r="A429" s="40"/>
    </row>
    <row r="430" spans="1:1" x14ac:dyDescent="0.25">
      <c r="A430" s="40"/>
    </row>
    <row r="431" spans="1:1" x14ac:dyDescent="0.25">
      <c r="A431" s="40"/>
    </row>
    <row r="432" spans="1:1" x14ac:dyDescent="0.25">
      <c r="A432" s="40"/>
    </row>
    <row r="433" spans="1:1" x14ac:dyDescent="0.25">
      <c r="A433" s="40"/>
    </row>
    <row r="434" spans="1:1" x14ac:dyDescent="0.25">
      <c r="A434" s="40"/>
    </row>
    <row r="435" spans="1:1" x14ac:dyDescent="0.25">
      <c r="A435" s="40"/>
    </row>
    <row r="436" spans="1:1" x14ac:dyDescent="0.25">
      <c r="A436" s="40"/>
    </row>
    <row r="437" spans="1:1" x14ac:dyDescent="0.25">
      <c r="A437" s="40"/>
    </row>
    <row r="438" spans="1:1" x14ac:dyDescent="0.25">
      <c r="A438" s="40"/>
    </row>
    <row r="439" spans="1:1" x14ac:dyDescent="0.25">
      <c r="A439" s="40"/>
    </row>
    <row r="440" spans="1:1" x14ac:dyDescent="0.25">
      <c r="A440" s="40"/>
    </row>
    <row r="441" spans="1:1" x14ac:dyDescent="0.25">
      <c r="A441" s="40"/>
    </row>
    <row r="442" spans="1:1" x14ac:dyDescent="0.25">
      <c r="A442" s="40"/>
    </row>
    <row r="443" spans="1:1" x14ac:dyDescent="0.25">
      <c r="A443" s="40"/>
    </row>
    <row r="444" spans="1:1" x14ac:dyDescent="0.25">
      <c r="A444" s="40"/>
    </row>
    <row r="445" spans="1:1" x14ac:dyDescent="0.25">
      <c r="A445" s="40"/>
    </row>
    <row r="446" spans="1:1" x14ac:dyDescent="0.25">
      <c r="A446" s="40"/>
    </row>
    <row r="447" spans="1:1" x14ac:dyDescent="0.25">
      <c r="A447" s="40"/>
    </row>
    <row r="448" spans="1:1" x14ac:dyDescent="0.25">
      <c r="A448" s="40"/>
    </row>
    <row r="449" spans="1:1" x14ac:dyDescent="0.25">
      <c r="A449" s="40"/>
    </row>
    <row r="450" spans="1:1" x14ac:dyDescent="0.25">
      <c r="A450" s="40"/>
    </row>
    <row r="451" spans="1:1" x14ac:dyDescent="0.25">
      <c r="A451" s="40"/>
    </row>
    <row r="452" spans="1:1" x14ac:dyDescent="0.25">
      <c r="A452" s="40"/>
    </row>
    <row r="453" spans="1:1" x14ac:dyDescent="0.25">
      <c r="A453" s="40"/>
    </row>
    <row r="454" spans="1:1" x14ac:dyDescent="0.25">
      <c r="A454" s="40"/>
    </row>
    <row r="455" spans="1:1" x14ac:dyDescent="0.25">
      <c r="A455" s="40"/>
    </row>
    <row r="456" spans="1:1" x14ac:dyDescent="0.25">
      <c r="A456" s="40"/>
    </row>
    <row r="457" spans="1:1" x14ac:dyDescent="0.25">
      <c r="A457" s="40"/>
    </row>
    <row r="458" spans="1:1" x14ac:dyDescent="0.25">
      <c r="A458" s="40"/>
    </row>
    <row r="459" spans="1:1" x14ac:dyDescent="0.25">
      <c r="A459" s="40"/>
    </row>
    <row r="460" spans="1:1" x14ac:dyDescent="0.25">
      <c r="A460" s="40"/>
    </row>
    <row r="461" spans="1:1" x14ac:dyDescent="0.25">
      <c r="A461" s="40"/>
    </row>
    <row r="462" spans="1:1" x14ac:dyDescent="0.25">
      <c r="A462" s="40"/>
    </row>
    <row r="463" spans="1:1" x14ac:dyDescent="0.25">
      <c r="A463" s="40"/>
    </row>
    <row r="464" spans="1:1" x14ac:dyDescent="0.25">
      <c r="A464" s="40"/>
    </row>
    <row r="465" spans="1:1" x14ac:dyDescent="0.25">
      <c r="A465" s="40"/>
    </row>
    <row r="466" spans="1:1" x14ac:dyDescent="0.25">
      <c r="A466" s="40"/>
    </row>
    <row r="467" spans="1:1" x14ac:dyDescent="0.25">
      <c r="A467" s="40"/>
    </row>
    <row r="468" spans="1:1" x14ac:dyDescent="0.25">
      <c r="A468" s="40"/>
    </row>
    <row r="469" spans="1:1" x14ac:dyDescent="0.25">
      <c r="A469" s="40"/>
    </row>
    <row r="470" spans="1:1" x14ac:dyDescent="0.25">
      <c r="A470" s="40"/>
    </row>
    <row r="471" spans="1:1" x14ac:dyDescent="0.25">
      <c r="A471" s="40"/>
    </row>
    <row r="472" spans="1:1" x14ac:dyDescent="0.25">
      <c r="A472" s="40"/>
    </row>
    <row r="473" spans="1:1" x14ac:dyDescent="0.25">
      <c r="A473" s="40"/>
    </row>
    <row r="474" spans="1:1" x14ac:dyDescent="0.25">
      <c r="A474" s="40"/>
    </row>
    <row r="475" spans="1:1" x14ac:dyDescent="0.25">
      <c r="A475" s="40"/>
    </row>
    <row r="476" spans="1:1" x14ac:dyDescent="0.25">
      <c r="A476" s="40"/>
    </row>
    <row r="477" spans="1:1" x14ac:dyDescent="0.25">
      <c r="A477" s="40"/>
    </row>
    <row r="478" spans="1:1" x14ac:dyDescent="0.25">
      <c r="A478" s="40"/>
    </row>
    <row r="479" spans="1:1" x14ac:dyDescent="0.25">
      <c r="A479" s="40"/>
    </row>
    <row r="480" spans="1:1" x14ac:dyDescent="0.25">
      <c r="A480" s="40"/>
    </row>
    <row r="481" spans="1:1" x14ac:dyDescent="0.25">
      <c r="A481" s="40"/>
    </row>
    <row r="482" spans="1:1" x14ac:dyDescent="0.25">
      <c r="A482" s="40"/>
    </row>
    <row r="483" spans="1:1" x14ac:dyDescent="0.25">
      <c r="A483" s="40"/>
    </row>
    <row r="484" spans="1:1" x14ac:dyDescent="0.25">
      <c r="A484" s="40"/>
    </row>
    <row r="485" spans="1:1" x14ac:dyDescent="0.25">
      <c r="A485" s="40"/>
    </row>
    <row r="486" spans="1:1" x14ac:dyDescent="0.25">
      <c r="A486" s="40"/>
    </row>
    <row r="487" spans="1:1" x14ac:dyDescent="0.25">
      <c r="A487" s="40"/>
    </row>
    <row r="488" spans="1:1" x14ac:dyDescent="0.25">
      <c r="A488" s="40"/>
    </row>
    <row r="489" spans="1:1" x14ac:dyDescent="0.25">
      <c r="A489" s="40"/>
    </row>
    <row r="490" spans="1:1" x14ac:dyDescent="0.25">
      <c r="A490" s="40"/>
    </row>
    <row r="491" spans="1:1" x14ac:dyDescent="0.25">
      <c r="A491" s="40"/>
    </row>
    <row r="492" spans="1:1" x14ac:dyDescent="0.25">
      <c r="A492" s="40"/>
    </row>
    <row r="493" spans="1:1" x14ac:dyDescent="0.25">
      <c r="A493" s="40"/>
    </row>
    <row r="494" spans="1:1" x14ac:dyDescent="0.25">
      <c r="A494" s="40"/>
    </row>
    <row r="495" spans="1:1" x14ac:dyDescent="0.25">
      <c r="A495" s="40"/>
    </row>
    <row r="496" spans="1:1" x14ac:dyDescent="0.25">
      <c r="A496" s="40"/>
    </row>
    <row r="497" spans="1:1" x14ac:dyDescent="0.25">
      <c r="A497" s="40"/>
    </row>
    <row r="498" spans="1:1" x14ac:dyDescent="0.25">
      <c r="A498" s="40"/>
    </row>
    <row r="499" spans="1:1" x14ac:dyDescent="0.25">
      <c r="A499" s="40"/>
    </row>
    <row r="500" spans="1:1" x14ac:dyDescent="0.25">
      <c r="A500" s="40"/>
    </row>
    <row r="501" spans="1:1" x14ac:dyDescent="0.25">
      <c r="A501" s="40"/>
    </row>
    <row r="502" spans="1:1" x14ac:dyDescent="0.25">
      <c r="A502" s="40"/>
    </row>
    <row r="503" spans="1:1" x14ac:dyDescent="0.25">
      <c r="A503" s="40"/>
    </row>
    <row r="504" spans="1:1" x14ac:dyDescent="0.25">
      <c r="A504" s="40"/>
    </row>
    <row r="505" spans="1:1" x14ac:dyDescent="0.25">
      <c r="A505" s="40"/>
    </row>
    <row r="506" spans="1:1" x14ac:dyDescent="0.25">
      <c r="A506" s="40"/>
    </row>
    <row r="507" spans="1:1" x14ac:dyDescent="0.25">
      <c r="A507" s="40"/>
    </row>
    <row r="508" spans="1:1" x14ac:dyDescent="0.25">
      <c r="A508" s="40"/>
    </row>
    <row r="509" spans="1:1" x14ac:dyDescent="0.25">
      <c r="A509" s="40"/>
    </row>
    <row r="510" spans="1:1" x14ac:dyDescent="0.25">
      <c r="A510" s="40"/>
    </row>
    <row r="511" spans="1:1" x14ac:dyDescent="0.25">
      <c r="A511" s="40"/>
    </row>
    <row r="512" spans="1:1" x14ac:dyDescent="0.25">
      <c r="A512" s="40"/>
    </row>
    <row r="513" spans="1:1" x14ac:dyDescent="0.25">
      <c r="A513" s="40"/>
    </row>
    <row r="514" spans="1:1" x14ac:dyDescent="0.25">
      <c r="A514" s="40"/>
    </row>
    <row r="515" spans="1:1" x14ac:dyDescent="0.25">
      <c r="A515" s="40"/>
    </row>
    <row r="516" spans="1:1" x14ac:dyDescent="0.25">
      <c r="A516" s="40"/>
    </row>
    <row r="517" spans="1:1" x14ac:dyDescent="0.25">
      <c r="A517" s="40"/>
    </row>
    <row r="518" spans="1:1" x14ac:dyDescent="0.25">
      <c r="A518" s="40"/>
    </row>
    <row r="519" spans="1:1" x14ac:dyDescent="0.25">
      <c r="A519" s="40"/>
    </row>
    <row r="520" spans="1:1" x14ac:dyDescent="0.25">
      <c r="A520" s="40"/>
    </row>
    <row r="521" spans="1:1" x14ac:dyDescent="0.25">
      <c r="A521" s="40"/>
    </row>
    <row r="522" spans="1:1" x14ac:dyDescent="0.25">
      <c r="A522" s="40"/>
    </row>
    <row r="523" spans="1:1" x14ac:dyDescent="0.25">
      <c r="A523" s="40"/>
    </row>
    <row r="524" spans="1:1" x14ac:dyDescent="0.25">
      <c r="A524" s="40"/>
    </row>
    <row r="525" spans="1:1" x14ac:dyDescent="0.25">
      <c r="A525" s="40"/>
    </row>
    <row r="526" spans="1:1" x14ac:dyDescent="0.25">
      <c r="A526" s="40"/>
    </row>
    <row r="527" spans="1:1" x14ac:dyDescent="0.25">
      <c r="A527" s="40"/>
    </row>
    <row r="528" spans="1:1" x14ac:dyDescent="0.25">
      <c r="A528" s="40"/>
    </row>
    <row r="529" spans="1:1" x14ac:dyDescent="0.25">
      <c r="A529" s="40"/>
    </row>
    <row r="530" spans="1:1" x14ac:dyDescent="0.25">
      <c r="A530" s="40"/>
    </row>
    <row r="531" spans="1:1" x14ac:dyDescent="0.25">
      <c r="A531" s="40"/>
    </row>
    <row r="532" spans="1:1" x14ac:dyDescent="0.25">
      <c r="A532" s="40"/>
    </row>
    <row r="533" spans="1:1" x14ac:dyDescent="0.25">
      <c r="A533" s="40"/>
    </row>
    <row r="534" spans="1:1" x14ac:dyDescent="0.25">
      <c r="A534" s="40"/>
    </row>
    <row r="535" spans="1:1" x14ac:dyDescent="0.25">
      <c r="A535" s="40"/>
    </row>
    <row r="536" spans="1:1" x14ac:dyDescent="0.25">
      <c r="A536" s="40"/>
    </row>
    <row r="537" spans="1:1" x14ac:dyDescent="0.25">
      <c r="A537" s="40"/>
    </row>
    <row r="538" spans="1:1" x14ac:dyDescent="0.25">
      <c r="A538" s="40"/>
    </row>
    <row r="539" spans="1:1" x14ac:dyDescent="0.25">
      <c r="A539" s="40"/>
    </row>
    <row r="540" spans="1:1" x14ac:dyDescent="0.25">
      <c r="A540" s="40"/>
    </row>
    <row r="541" spans="1:1" x14ac:dyDescent="0.25">
      <c r="A541" s="40"/>
    </row>
    <row r="542" spans="1:1" x14ac:dyDescent="0.25">
      <c r="A542" s="40"/>
    </row>
    <row r="543" spans="1:1" x14ac:dyDescent="0.25">
      <c r="A543" s="40"/>
    </row>
    <row r="544" spans="1:1" x14ac:dyDescent="0.25">
      <c r="A544" s="40"/>
    </row>
    <row r="545" spans="1:1" x14ac:dyDescent="0.25">
      <c r="A545" s="40"/>
    </row>
    <row r="546" spans="1:1" x14ac:dyDescent="0.25">
      <c r="A546" s="40"/>
    </row>
    <row r="547" spans="1:1" x14ac:dyDescent="0.25">
      <c r="A547" s="40"/>
    </row>
    <row r="548" spans="1:1" x14ac:dyDescent="0.25">
      <c r="A548" s="40"/>
    </row>
    <row r="549" spans="1:1" x14ac:dyDescent="0.25">
      <c r="A549" s="40"/>
    </row>
    <row r="550" spans="1:1" x14ac:dyDescent="0.25">
      <c r="A550" s="40"/>
    </row>
    <row r="551" spans="1:1" x14ac:dyDescent="0.25">
      <c r="A551" s="40"/>
    </row>
    <row r="552" spans="1:1" x14ac:dyDescent="0.25">
      <c r="A552" s="40"/>
    </row>
    <row r="553" spans="1:1" x14ac:dyDescent="0.25">
      <c r="A553" s="40"/>
    </row>
    <row r="554" spans="1:1" x14ac:dyDescent="0.25">
      <c r="A554" s="40"/>
    </row>
    <row r="555" spans="1:1" x14ac:dyDescent="0.25">
      <c r="A555" s="40"/>
    </row>
    <row r="556" spans="1:1" x14ac:dyDescent="0.25">
      <c r="A556" s="40"/>
    </row>
    <row r="557" spans="1:1" x14ac:dyDescent="0.25">
      <c r="A557" s="40"/>
    </row>
    <row r="558" spans="1:1" x14ac:dyDescent="0.25">
      <c r="A558" s="40"/>
    </row>
    <row r="559" spans="1:1" x14ac:dyDescent="0.25">
      <c r="A559" s="40"/>
    </row>
    <row r="560" spans="1:1" x14ac:dyDescent="0.25">
      <c r="A560" s="40"/>
    </row>
    <row r="561" spans="1:1" x14ac:dyDescent="0.25">
      <c r="A561" s="40"/>
    </row>
    <row r="562" spans="1:1" x14ac:dyDescent="0.25">
      <c r="A562" s="40"/>
    </row>
    <row r="563" spans="1:1" x14ac:dyDescent="0.25">
      <c r="A563" s="40"/>
    </row>
    <row r="564" spans="1:1" x14ac:dyDescent="0.25">
      <c r="A564" s="40"/>
    </row>
    <row r="565" spans="1:1" x14ac:dyDescent="0.25">
      <c r="A565" s="40"/>
    </row>
    <row r="566" spans="1:1" x14ac:dyDescent="0.25">
      <c r="A566" s="40"/>
    </row>
    <row r="567" spans="1:1" x14ac:dyDescent="0.25">
      <c r="A567" s="40"/>
    </row>
    <row r="568" spans="1:1" x14ac:dyDescent="0.25">
      <c r="A568" s="40"/>
    </row>
    <row r="569" spans="1:1" x14ac:dyDescent="0.25">
      <c r="A569" s="40"/>
    </row>
    <row r="570" spans="1:1" x14ac:dyDescent="0.25">
      <c r="A570" s="40"/>
    </row>
    <row r="571" spans="1:1" x14ac:dyDescent="0.25">
      <c r="A571" s="40"/>
    </row>
    <row r="572" spans="1:1" x14ac:dyDescent="0.25">
      <c r="A572" s="40"/>
    </row>
    <row r="573" spans="1:1" x14ac:dyDescent="0.25">
      <c r="A573" s="40"/>
    </row>
    <row r="574" spans="1:1" x14ac:dyDescent="0.25">
      <c r="A574" s="40"/>
    </row>
    <row r="575" spans="1:1" x14ac:dyDescent="0.25">
      <c r="A575" s="40"/>
    </row>
    <row r="576" spans="1:1" x14ac:dyDescent="0.25">
      <c r="A576" s="40"/>
    </row>
    <row r="577" spans="1:1" x14ac:dyDescent="0.25">
      <c r="A577" s="40"/>
    </row>
    <row r="578" spans="1:1" x14ac:dyDescent="0.25">
      <c r="A578" s="40"/>
    </row>
    <row r="579" spans="1:1" x14ac:dyDescent="0.25">
      <c r="A579" s="40"/>
    </row>
    <row r="580" spans="1:1" x14ac:dyDescent="0.25">
      <c r="A580" s="40"/>
    </row>
    <row r="581" spans="1:1" x14ac:dyDescent="0.25">
      <c r="A581" s="40"/>
    </row>
    <row r="582" spans="1:1" x14ac:dyDescent="0.25">
      <c r="A582" s="40"/>
    </row>
    <row r="583" spans="1:1" x14ac:dyDescent="0.25">
      <c r="A583" s="40"/>
    </row>
    <row r="584" spans="1:1" x14ac:dyDescent="0.25">
      <c r="A584" s="40"/>
    </row>
    <row r="585" spans="1:1" x14ac:dyDescent="0.25">
      <c r="A585" s="40"/>
    </row>
    <row r="586" spans="1:1" x14ac:dyDescent="0.25">
      <c r="A586" s="40"/>
    </row>
    <row r="587" spans="1:1" x14ac:dyDescent="0.25">
      <c r="A587" s="40"/>
    </row>
    <row r="588" spans="1:1" x14ac:dyDescent="0.25">
      <c r="A588" s="40"/>
    </row>
    <row r="589" spans="1:1" x14ac:dyDescent="0.25">
      <c r="A589" s="40"/>
    </row>
    <row r="590" spans="1:1" x14ac:dyDescent="0.25">
      <c r="A590" s="40"/>
    </row>
    <row r="591" spans="1:1" x14ac:dyDescent="0.25">
      <c r="A591" s="40"/>
    </row>
    <row r="592" spans="1:1" x14ac:dyDescent="0.25">
      <c r="A592" s="40"/>
    </row>
    <row r="593" spans="1:1" x14ac:dyDescent="0.25">
      <c r="A593" s="40"/>
    </row>
    <row r="594" spans="1:1" x14ac:dyDescent="0.25">
      <c r="A594" s="40"/>
    </row>
    <row r="595" spans="1:1" x14ac:dyDescent="0.25">
      <c r="A595" s="40"/>
    </row>
    <row r="596" spans="1:1" x14ac:dyDescent="0.25">
      <c r="A596" s="40"/>
    </row>
    <row r="597" spans="1:1" x14ac:dyDescent="0.25">
      <c r="A597" s="40"/>
    </row>
    <row r="598" spans="1:1" x14ac:dyDescent="0.25">
      <c r="A598" s="40"/>
    </row>
    <row r="599" spans="1:1" x14ac:dyDescent="0.25">
      <c r="A599" s="40"/>
    </row>
    <row r="600" spans="1:1" x14ac:dyDescent="0.25">
      <c r="A600" s="40"/>
    </row>
    <row r="601" spans="1:1" x14ac:dyDescent="0.25">
      <c r="A601" s="40"/>
    </row>
    <row r="602" spans="1:1" x14ac:dyDescent="0.25">
      <c r="A602" s="40"/>
    </row>
    <row r="603" spans="1:1" x14ac:dyDescent="0.25">
      <c r="A603" s="40"/>
    </row>
    <row r="604" spans="1:1" x14ac:dyDescent="0.25">
      <c r="A604" s="40"/>
    </row>
    <row r="605" spans="1:1" x14ac:dyDescent="0.25">
      <c r="A605" s="40"/>
    </row>
    <row r="606" spans="1:1" x14ac:dyDescent="0.25">
      <c r="A606" s="40"/>
    </row>
    <row r="607" spans="1:1" x14ac:dyDescent="0.25">
      <c r="A607" s="40"/>
    </row>
    <row r="608" spans="1:1" x14ac:dyDescent="0.25">
      <c r="A608" s="40"/>
    </row>
    <row r="609" spans="1:1" x14ac:dyDescent="0.25">
      <c r="A609" s="40"/>
    </row>
    <row r="610" spans="1:1" x14ac:dyDescent="0.25">
      <c r="A610" s="40"/>
    </row>
    <row r="611" spans="1:1" x14ac:dyDescent="0.25">
      <c r="A611" s="40"/>
    </row>
    <row r="612" spans="1:1" x14ac:dyDescent="0.25">
      <c r="A612" s="40"/>
    </row>
    <row r="613" spans="1:1" x14ac:dyDescent="0.25">
      <c r="A613" s="40"/>
    </row>
    <row r="614" spans="1:1" x14ac:dyDescent="0.25">
      <c r="A614" s="40"/>
    </row>
    <row r="615" spans="1:1" x14ac:dyDescent="0.25">
      <c r="A615" s="40"/>
    </row>
    <row r="616" spans="1:1" x14ac:dyDescent="0.25">
      <c r="A616" s="40"/>
    </row>
    <row r="617" spans="1:1" x14ac:dyDescent="0.25">
      <c r="A617" s="40"/>
    </row>
    <row r="618" spans="1:1" x14ac:dyDescent="0.25">
      <c r="A618" s="40"/>
    </row>
    <row r="619" spans="1:1" x14ac:dyDescent="0.25">
      <c r="A619" s="40"/>
    </row>
    <row r="620" spans="1:1" x14ac:dyDescent="0.25">
      <c r="A620" s="40"/>
    </row>
    <row r="621" spans="1:1" x14ac:dyDescent="0.25">
      <c r="A621" s="40"/>
    </row>
    <row r="622" spans="1:1" x14ac:dyDescent="0.25">
      <c r="A622" s="40"/>
    </row>
    <row r="623" spans="1:1" x14ac:dyDescent="0.25">
      <c r="A623" s="40"/>
    </row>
    <row r="624" spans="1:1" x14ac:dyDescent="0.25">
      <c r="A624" s="40"/>
    </row>
    <row r="625" spans="1:1" x14ac:dyDescent="0.25">
      <c r="A625" s="40"/>
    </row>
    <row r="626" spans="1:1" x14ac:dyDescent="0.25">
      <c r="A626" s="40"/>
    </row>
    <row r="627" spans="1:1" x14ac:dyDescent="0.25">
      <c r="A627" s="40"/>
    </row>
    <row r="628" spans="1:1" x14ac:dyDescent="0.25">
      <c r="A628" s="40"/>
    </row>
    <row r="629" spans="1:1" x14ac:dyDescent="0.25">
      <c r="A629" s="40"/>
    </row>
    <row r="630" spans="1:1" x14ac:dyDescent="0.25">
      <c r="A630" s="40"/>
    </row>
    <row r="631" spans="1:1" x14ac:dyDescent="0.25">
      <c r="A631" s="40"/>
    </row>
    <row r="632" spans="1:1" x14ac:dyDescent="0.25">
      <c r="A632" s="40"/>
    </row>
    <row r="633" spans="1:1" x14ac:dyDescent="0.25">
      <c r="A633" s="40"/>
    </row>
    <row r="634" spans="1:1" x14ac:dyDescent="0.25">
      <c r="A634" s="40"/>
    </row>
    <row r="635" spans="1:1" x14ac:dyDescent="0.25">
      <c r="A635" s="40"/>
    </row>
    <row r="636" spans="1:1" x14ac:dyDescent="0.25">
      <c r="A636" s="40"/>
    </row>
    <row r="637" spans="1:1" x14ac:dyDescent="0.25">
      <c r="A637" s="40"/>
    </row>
    <row r="638" spans="1:1" x14ac:dyDescent="0.25">
      <c r="A638" s="40"/>
    </row>
    <row r="639" spans="1:1" x14ac:dyDescent="0.25">
      <c r="A639" s="40"/>
    </row>
    <row r="640" spans="1:1" x14ac:dyDescent="0.25">
      <c r="A640" s="40"/>
    </row>
    <row r="641" spans="1:1" x14ac:dyDescent="0.25">
      <c r="A641" s="40"/>
    </row>
    <row r="642" spans="1:1" x14ac:dyDescent="0.25">
      <c r="A642" s="40"/>
    </row>
    <row r="643" spans="1:1" x14ac:dyDescent="0.25">
      <c r="A643" s="40"/>
    </row>
    <row r="644" spans="1:1" x14ac:dyDescent="0.25">
      <c r="A644" s="40"/>
    </row>
    <row r="645" spans="1:1" x14ac:dyDescent="0.25">
      <c r="A645" s="40"/>
    </row>
    <row r="646" spans="1:1" x14ac:dyDescent="0.25">
      <c r="A646" s="40"/>
    </row>
    <row r="647" spans="1:1" x14ac:dyDescent="0.25">
      <c r="A647" s="40"/>
    </row>
    <row r="648" spans="1:1" x14ac:dyDescent="0.25">
      <c r="A648" s="40"/>
    </row>
    <row r="649" spans="1:1" x14ac:dyDescent="0.25">
      <c r="A649" s="40"/>
    </row>
    <row r="650" spans="1:1" x14ac:dyDescent="0.25">
      <c r="A650" s="40"/>
    </row>
    <row r="651" spans="1:1" x14ac:dyDescent="0.25">
      <c r="A651" s="40"/>
    </row>
    <row r="652" spans="1:1" x14ac:dyDescent="0.25">
      <c r="A652" s="40"/>
    </row>
    <row r="653" spans="1:1" x14ac:dyDescent="0.25">
      <c r="A653" s="40"/>
    </row>
    <row r="654" spans="1:1" x14ac:dyDescent="0.25">
      <c r="A654" s="40"/>
    </row>
    <row r="655" spans="1:1" x14ac:dyDescent="0.25">
      <c r="A655" s="40"/>
    </row>
    <row r="656" spans="1:1" x14ac:dyDescent="0.25">
      <c r="A656" s="40"/>
    </row>
    <row r="657" spans="1:1" x14ac:dyDescent="0.25">
      <c r="A657" s="40"/>
    </row>
    <row r="658" spans="1:1" x14ac:dyDescent="0.25">
      <c r="A658" s="40"/>
    </row>
    <row r="659" spans="1:1" x14ac:dyDescent="0.25">
      <c r="A659" s="40"/>
    </row>
    <row r="660" spans="1:1" x14ac:dyDescent="0.25">
      <c r="A660" s="40"/>
    </row>
    <row r="661" spans="1:1" x14ac:dyDescent="0.25">
      <c r="A661" s="40"/>
    </row>
    <row r="662" spans="1:1" x14ac:dyDescent="0.25">
      <c r="A662" s="40"/>
    </row>
    <row r="663" spans="1:1" x14ac:dyDescent="0.25">
      <c r="A663" s="40"/>
    </row>
    <row r="664" spans="1:1" x14ac:dyDescent="0.25">
      <c r="A664" s="40"/>
    </row>
    <row r="665" spans="1:1" x14ac:dyDescent="0.25">
      <c r="A665" s="40"/>
    </row>
    <row r="666" spans="1:1" x14ac:dyDescent="0.25">
      <c r="A666" s="40"/>
    </row>
    <row r="667" spans="1:1" x14ac:dyDescent="0.25">
      <c r="A667" s="40"/>
    </row>
    <row r="668" spans="1:1" x14ac:dyDescent="0.25">
      <c r="A668" s="40"/>
    </row>
    <row r="669" spans="1:1" x14ac:dyDescent="0.25">
      <c r="A669" s="40"/>
    </row>
    <row r="670" spans="1:1" x14ac:dyDescent="0.25">
      <c r="A670" s="40"/>
    </row>
    <row r="671" spans="1:1" x14ac:dyDescent="0.25">
      <c r="A671" s="40"/>
    </row>
    <row r="672" spans="1:1" x14ac:dyDescent="0.25">
      <c r="A672" s="40"/>
    </row>
    <row r="673" spans="1:1" x14ac:dyDescent="0.25">
      <c r="A673" s="40"/>
    </row>
    <row r="674" spans="1:1" x14ac:dyDescent="0.25">
      <c r="A674" s="40"/>
    </row>
    <row r="675" spans="1:1" x14ac:dyDescent="0.25">
      <c r="A675" s="40"/>
    </row>
    <row r="676" spans="1:1" x14ac:dyDescent="0.25">
      <c r="A676" s="40"/>
    </row>
    <row r="677" spans="1:1" x14ac:dyDescent="0.25">
      <c r="A677" s="40"/>
    </row>
    <row r="678" spans="1:1" x14ac:dyDescent="0.25">
      <c r="A678" s="40"/>
    </row>
    <row r="679" spans="1:1" x14ac:dyDescent="0.25">
      <c r="A679" s="40"/>
    </row>
    <row r="680" spans="1:1" x14ac:dyDescent="0.25">
      <c r="A680" s="40"/>
    </row>
    <row r="681" spans="1:1" x14ac:dyDescent="0.25">
      <c r="A681" s="40"/>
    </row>
    <row r="682" spans="1:1" x14ac:dyDescent="0.25">
      <c r="A682" s="40"/>
    </row>
    <row r="683" spans="1:1" x14ac:dyDescent="0.25">
      <c r="A683" s="40"/>
    </row>
    <row r="684" spans="1:1" x14ac:dyDescent="0.25">
      <c r="A684" s="40"/>
    </row>
    <row r="685" spans="1:1" x14ac:dyDescent="0.25">
      <c r="A685" s="40"/>
    </row>
    <row r="686" spans="1:1" x14ac:dyDescent="0.25">
      <c r="A686" s="40"/>
    </row>
    <row r="687" spans="1:1" x14ac:dyDescent="0.25">
      <c r="A687" s="40"/>
    </row>
    <row r="688" spans="1:1" x14ac:dyDescent="0.25">
      <c r="A688" s="40"/>
    </row>
    <row r="689" spans="1:1" x14ac:dyDescent="0.25">
      <c r="A689" s="40"/>
    </row>
    <row r="690" spans="1:1" x14ac:dyDescent="0.25">
      <c r="A690" s="40"/>
    </row>
    <row r="691" spans="1:1" x14ac:dyDescent="0.25">
      <c r="A691" s="40"/>
    </row>
    <row r="692" spans="1:1" x14ac:dyDescent="0.25">
      <c r="A692" s="40"/>
    </row>
    <row r="693" spans="1:1" x14ac:dyDescent="0.25">
      <c r="A693" s="40"/>
    </row>
    <row r="694" spans="1:1" x14ac:dyDescent="0.25">
      <c r="A694" s="40"/>
    </row>
    <row r="695" spans="1:1" x14ac:dyDescent="0.25">
      <c r="A695" s="40"/>
    </row>
    <row r="696" spans="1:1" x14ac:dyDescent="0.25">
      <c r="A696" s="40"/>
    </row>
    <row r="697" spans="1:1" x14ac:dyDescent="0.25">
      <c r="A697" s="40"/>
    </row>
    <row r="698" spans="1:1" x14ac:dyDescent="0.25">
      <c r="A698" s="40"/>
    </row>
    <row r="699" spans="1:1" x14ac:dyDescent="0.25">
      <c r="A699" s="40"/>
    </row>
    <row r="700" spans="1:1" x14ac:dyDescent="0.25">
      <c r="A700" s="40"/>
    </row>
    <row r="701" spans="1:1" x14ac:dyDescent="0.25">
      <c r="A701" s="40"/>
    </row>
    <row r="702" spans="1:1" x14ac:dyDescent="0.25">
      <c r="A702" s="40"/>
    </row>
    <row r="703" spans="1:1" x14ac:dyDescent="0.25">
      <c r="A703" s="40"/>
    </row>
    <row r="704" spans="1:1" x14ac:dyDescent="0.25">
      <c r="A704" s="40"/>
    </row>
    <row r="705" spans="1:1" x14ac:dyDescent="0.25">
      <c r="A705" s="40"/>
    </row>
    <row r="706" spans="1:1" x14ac:dyDescent="0.25">
      <c r="A706" s="40"/>
    </row>
    <row r="707" spans="1:1" x14ac:dyDescent="0.25">
      <c r="A707" s="40"/>
    </row>
    <row r="708" spans="1:1" x14ac:dyDescent="0.25">
      <c r="A708" s="40"/>
    </row>
    <row r="709" spans="1:1" x14ac:dyDescent="0.25">
      <c r="A709" s="40"/>
    </row>
    <row r="710" spans="1:1" x14ac:dyDescent="0.25">
      <c r="A710" s="40"/>
    </row>
    <row r="711" spans="1:1" x14ac:dyDescent="0.25">
      <c r="A711" s="40"/>
    </row>
    <row r="712" spans="1:1" x14ac:dyDescent="0.25">
      <c r="A712" s="40"/>
    </row>
    <row r="713" spans="1:1" x14ac:dyDescent="0.25">
      <c r="A713" s="40"/>
    </row>
    <row r="714" spans="1:1" x14ac:dyDescent="0.25">
      <c r="A714" s="40"/>
    </row>
    <row r="715" spans="1:1" x14ac:dyDescent="0.25">
      <c r="A715" s="40"/>
    </row>
    <row r="716" spans="1:1" x14ac:dyDescent="0.25">
      <c r="A716" s="40"/>
    </row>
    <row r="717" spans="1:1" x14ac:dyDescent="0.25">
      <c r="A717" s="40"/>
    </row>
    <row r="718" spans="1:1" x14ac:dyDescent="0.25">
      <c r="A718" s="40"/>
    </row>
    <row r="719" spans="1:1" x14ac:dyDescent="0.25">
      <c r="A719" s="40"/>
    </row>
    <row r="720" spans="1:1" x14ac:dyDescent="0.25">
      <c r="A720" s="40"/>
    </row>
    <row r="721" spans="1:1" x14ac:dyDescent="0.25">
      <c r="A721" s="40"/>
    </row>
    <row r="722" spans="1:1" x14ac:dyDescent="0.25">
      <c r="A722" s="40"/>
    </row>
    <row r="723" spans="1:1" x14ac:dyDescent="0.25">
      <c r="A723" s="40"/>
    </row>
    <row r="724" spans="1:1" x14ac:dyDescent="0.25">
      <c r="A724" s="40"/>
    </row>
    <row r="725" spans="1:1" x14ac:dyDescent="0.25">
      <c r="A725" s="40"/>
    </row>
    <row r="726" spans="1:1" x14ac:dyDescent="0.25">
      <c r="A726" s="40"/>
    </row>
    <row r="727" spans="1:1" x14ac:dyDescent="0.25">
      <c r="A727" s="40"/>
    </row>
    <row r="728" spans="1:1" x14ac:dyDescent="0.25">
      <c r="A728" s="40"/>
    </row>
    <row r="729" spans="1:1" x14ac:dyDescent="0.25">
      <c r="A729" s="40"/>
    </row>
    <row r="730" spans="1:1" x14ac:dyDescent="0.25">
      <c r="A730" s="40"/>
    </row>
    <row r="731" spans="1:1" x14ac:dyDescent="0.25">
      <c r="A731" s="40"/>
    </row>
    <row r="732" spans="1:1" x14ac:dyDescent="0.25">
      <c r="A732" s="40"/>
    </row>
    <row r="733" spans="1:1" x14ac:dyDescent="0.25">
      <c r="A733" s="40"/>
    </row>
    <row r="734" spans="1:1" x14ac:dyDescent="0.25">
      <c r="A734" s="40"/>
    </row>
    <row r="735" spans="1:1" x14ac:dyDescent="0.25">
      <c r="A735" s="40"/>
    </row>
    <row r="736" spans="1:1" x14ac:dyDescent="0.25">
      <c r="A736" s="40"/>
    </row>
    <row r="737" spans="1:1" x14ac:dyDescent="0.25">
      <c r="A737" s="40"/>
    </row>
    <row r="738" spans="1:1" x14ac:dyDescent="0.25">
      <c r="A738" s="40"/>
    </row>
    <row r="739" spans="1:1" x14ac:dyDescent="0.25">
      <c r="A739" s="40"/>
    </row>
    <row r="740" spans="1:1" x14ac:dyDescent="0.25">
      <c r="A740" s="40"/>
    </row>
    <row r="741" spans="1:1" x14ac:dyDescent="0.25">
      <c r="A741" s="40"/>
    </row>
    <row r="742" spans="1:1" x14ac:dyDescent="0.25">
      <c r="A742" s="40"/>
    </row>
    <row r="743" spans="1:1" x14ac:dyDescent="0.25">
      <c r="A743" s="40"/>
    </row>
    <row r="744" spans="1:1" x14ac:dyDescent="0.25">
      <c r="A744" s="40"/>
    </row>
    <row r="745" spans="1:1" x14ac:dyDescent="0.25">
      <c r="A745" s="40"/>
    </row>
    <row r="746" spans="1:1" x14ac:dyDescent="0.25">
      <c r="A746" s="40"/>
    </row>
    <row r="747" spans="1:1" x14ac:dyDescent="0.25">
      <c r="A747" s="40"/>
    </row>
    <row r="748" spans="1:1" x14ac:dyDescent="0.25">
      <c r="A748" s="40"/>
    </row>
    <row r="749" spans="1:1" x14ac:dyDescent="0.25">
      <c r="A749" s="40"/>
    </row>
    <row r="750" spans="1:1" x14ac:dyDescent="0.25">
      <c r="A750" s="40"/>
    </row>
    <row r="751" spans="1:1" x14ac:dyDescent="0.25">
      <c r="A751" s="40"/>
    </row>
    <row r="752" spans="1:1" x14ac:dyDescent="0.25">
      <c r="A752" s="40"/>
    </row>
    <row r="753" spans="1:1" x14ac:dyDescent="0.25">
      <c r="A753" s="40"/>
    </row>
    <row r="754" spans="1:1" x14ac:dyDescent="0.25">
      <c r="A754" s="40"/>
    </row>
    <row r="755" spans="1:1" x14ac:dyDescent="0.25">
      <c r="A755" s="40"/>
    </row>
    <row r="756" spans="1:1" x14ac:dyDescent="0.25">
      <c r="A756" s="40"/>
    </row>
    <row r="757" spans="1:1" x14ac:dyDescent="0.25">
      <c r="A757" s="40"/>
    </row>
    <row r="758" spans="1:1" x14ac:dyDescent="0.25">
      <c r="A758" s="40"/>
    </row>
    <row r="759" spans="1:1" x14ac:dyDescent="0.25">
      <c r="A759" s="40"/>
    </row>
    <row r="760" spans="1:1" x14ac:dyDescent="0.25">
      <c r="A760" s="40"/>
    </row>
    <row r="761" spans="1:1" x14ac:dyDescent="0.25">
      <c r="A761" s="40"/>
    </row>
    <row r="762" spans="1:1" x14ac:dyDescent="0.25">
      <c r="A762" s="40"/>
    </row>
    <row r="763" spans="1:1" x14ac:dyDescent="0.25">
      <c r="A763" s="40"/>
    </row>
    <row r="764" spans="1:1" x14ac:dyDescent="0.25">
      <c r="A764" s="40"/>
    </row>
    <row r="765" spans="1:1" x14ac:dyDescent="0.25">
      <c r="A765" s="40"/>
    </row>
    <row r="766" spans="1:1" x14ac:dyDescent="0.25">
      <c r="A766" s="40"/>
    </row>
    <row r="767" spans="1:1" x14ac:dyDescent="0.25">
      <c r="A767" s="40"/>
    </row>
    <row r="768" spans="1:1" x14ac:dyDescent="0.25">
      <c r="A768" s="40"/>
    </row>
    <row r="769" spans="1:1" x14ac:dyDescent="0.25">
      <c r="A769" s="40"/>
    </row>
    <row r="770" spans="1:1" x14ac:dyDescent="0.25">
      <c r="A770" s="40"/>
    </row>
    <row r="771" spans="1:1" x14ac:dyDescent="0.25">
      <c r="A771" s="40"/>
    </row>
    <row r="772" spans="1:1" x14ac:dyDescent="0.25">
      <c r="A772" s="40"/>
    </row>
    <row r="773" spans="1:1" x14ac:dyDescent="0.25">
      <c r="A773" s="40"/>
    </row>
    <row r="774" spans="1:1" x14ac:dyDescent="0.25">
      <c r="A774" s="40"/>
    </row>
    <row r="775" spans="1:1" x14ac:dyDescent="0.25">
      <c r="A775" s="40"/>
    </row>
    <row r="776" spans="1:1" x14ac:dyDescent="0.25">
      <c r="A776" s="40"/>
    </row>
    <row r="777" spans="1:1" x14ac:dyDescent="0.25">
      <c r="A777" s="40"/>
    </row>
    <row r="778" spans="1:1" x14ac:dyDescent="0.25">
      <c r="A778" s="40"/>
    </row>
    <row r="779" spans="1:1" x14ac:dyDescent="0.25">
      <c r="A779" s="40"/>
    </row>
    <row r="780" spans="1:1" x14ac:dyDescent="0.25">
      <c r="A780" s="40"/>
    </row>
    <row r="781" spans="1:1" x14ac:dyDescent="0.25">
      <c r="A781" s="40"/>
    </row>
    <row r="782" spans="1:1" x14ac:dyDescent="0.25">
      <c r="A782" s="40"/>
    </row>
    <row r="783" spans="1:1" x14ac:dyDescent="0.25">
      <c r="A783" s="40"/>
    </row>
    <row r="784" spans="1:1" x14ac:dyDescent="0.25">
      <c r="A784" s="40"/>
    </row>
    <row r="785" spans="1:1" x14ac:dyDescent="0.25">
      <c r="A785" s="40"/>
    </row>
    <row r="786" spans="1:1" x14ac:dyDescent="0.25">
      <c r="A786" s="40"/>
    </row>
    <row r="787" spans="1:1" x14ac:dyDescent="0.25">
      <c r="A787" s="40"/>
    </row>
    <row r="788" spans="1:1" x14ac:dyDescent="0.25">
      <c r="A788" s="40"/>
    </row>
    <row r="789" spans="1:1" x14ac:dyDescent="0.25">
      <c r="A789" s="40"/>
    </row>
    <row r="790" spans="1:1" x14ac:dyDescent="0.25">
      <c r="A790" s="40"/>
    </row>
    <row r="791" spans="1:1" x14ac:dyDescent="0.25">
      <c r="A791" s="40"/>
    </row>
    <row r="792" spans="1:1" x14ac:dyDescent="0.25">
      <c r="A792" s="40"/>
    </row>
    <row r="793" spans="1:1" x14ac:dyDescent="0.25">
      <c r="A793" s="40"/>
    </row>
    <row r="794" spans="1:1" x14ac:dyDescent="0.25">
      <c r="A794" s="40"/>
    </row>
    <row r="795" spans="1:1" x14ac:dyDescent="0.25">
      <c r="A795" s="40"/>
    </row>
    <row r="796" spans="1:1" x14ac:dyDescent="0.25">
      <c r="A796" s="40"/>
    </row>
    <row r="797" spans="1:1" x14ac:dyDescent="0.25">
      <c r="A797" s="40"/>
    </row>
    <row r="798" spans="1:1" x14ac:dyDescent="0.25">
      <c r="A798" s="40"/>
    </row>
    <row r="799" spans="1:1" x14ac:dyDescent="0.25">
      <c r="A799" s="40"/>
    </row>
    <row r="800" spans="1:1" x14ac:dyDescent="0.25">
      <c r="A800" s="40"/>
    </row>
    <row r="801" spans="1:1" x14ac:dyDescent="0.25">
      <c r="A801" s="40"/>
    </row>
    <row r="802" spans="1:1" x14ac:dyDescent="0.25">
      <c r="A802" s="40"/>
    </row>
    <row r="803" spans="1:1" x14ac:dyDescent="0.25">
      <c r="A803" s="40"/>
    </row>
    <row r="804" spans="1:1" x14ac:dyDescent="0.25">
      <c r="A804" s="40"/>
    </row>
    <row r="805" spans="1:1" x14ac:dyDescent="0.25">
      <c r="A805" s="40"/>
    </row>
    <row r="806" spans="1:1" x14ac:dyDescent="0.25">
      <c r="A806" s="40"/>
    </row>
    <row r="807" spans="1:1" x14ac:dyDescent="0.25">
      <c r="A807" s="40"/>
    </row>
    <row r="808" spans="1:1" x14ac:dyDescent="0.25">
      <c r="A808" s="40"/>
    </row>
    <row r="809" spans="1:1" x14ac:dyDescent="0.25">
      <c r="A809" s="40"/>
    </row>
    <row r="810" spans="1:1" x14ac:dyDescent="0.25">
      <c r="A810" s="40"/>
    </row>
    <row r="811" spans="1:1" x14ac:dyDescent="0.25">
      <c r="A811" s="40"/>
    </row>
    <row r="812" spans="1:1" x14ac:dyDescent="0.25">
      <c r="A812" s="40"/>
    </row>
    <row r="813" spans="1:1" x14ac:dyDescent="0.25">
      <c r="A813" s="40"/>
    </row>
    <row r="814" spans="1:1" x14ac:dyDescent="0.25">
      <c r="A814" s="40"/>
    </row>
    <row r="815" spans="1:1" x14ac:dyDescent="0.25">
      <c r="A815" s="40"/>
    </row>
    <row r="816" spans="1:1" x14ac:dyDescent="0.25">
      <c r="A816" s="40"/>
    </row>
    <row r="817" spans="1:1" x14ac:dyDescent="0.25">
      <c r="A817" s="40"/>
    </row>
    <row r="818" spans="1:1" x14ac:dyDescent="0.25">
      <c r="A818" s="40"/>
    </row>
    <row r="819" spans="1:1" x14ac:dyDescent="0.25">
      <c r="A819" s="40"/>
    </row>
    <row r="820" spans="1:1" x14ac:dyDescent="0.25">
      <c r="A820" s="40"/>
    </row>
    <row r="821" spans="1:1" x14ac:dyDescent="0.25">
      <c r="A821" s="40"/>
    </row>
    <row r="822" spans="1:1" x14ac:dyDescent="0.25">
      <c r="A822" s="40"/>
    </row>
    <row r="823" spans="1:1" x14ac:dyDescent="0.25">
      <c r="A823" s="40"/>
    </row>
    <row r="824" spans="1:1" x14ac:dyDescent="0.25">
      <c r="A824" s="40"/>
    </row>
    <row r="825" spans="1:1" x14ac:dyDescent="0.25">
      <c r="A825" s="40"/>
    </row>
    <row r="826" spans="1:1" x14ac:dyDescent="0.25">
      <c r="A826" s="40"/>
    </row>
    <row r="827" spans="1:1" x14ac:dyDescent="0.25">
      <c r="A827" s="40"/>
    </row>
    <row r="828" spans="1:1" x14ac:dyDescent="0.25">
      <c r="A828" s="40"/>
    </row>
    <row r="829" spans="1:1" x14ac:dyDescent="0.25">
      <c r="A829" s="40"/>
    </row>
    <row r="830" spans="1:1" x14ac:dyDescent="0.25">
      <c r="A830" s="40"/>
    </row>
    <row r="831" spans="1:1" x14ac:dyDescent="0.25">
      <c r="A831" s="40"/>
    </row>
    <row r="832" spans="1:1" x14ac:dyDescent="0.25">
      <c r="A832" s="40"/>
    </row>
    <row r="833" spans="1:1" x14ac:dyDescent="0.25">
      <c r="A833" s="40"/>
    </row>
    <row r="834" spans="1:1" x14ac:dyDescent="0.25">
      <c r="A834" s="40"/>
    </row>
    <row r="835" spans="1:1" x14ac:dyDescent="0.25">
      <c r="A835" s="40"/>
    </row>
    <row r="836" spans="1:1" x14ac:dyDescent="0.25">
      <c r="A836" s="40"/>
    </row>
    <row r="837" spans="1:1" x14ac:dyDescent="0.25">
      <c r="A837" s="40"/>
    </row>
    <row r="838" spans="1:1" x14ac:dyDescent="0.25">
      <c r="A838" s="40"/>
    </row>
    <row r="839" spans="1:1" x14ac:dyDescent="0.25">
      <c r="A839" s="40"/>
    </row>
    <row r="840" spans="1:1" x14ac:dyDescent="0.25">
      <c r="A840" s="40"/>
    </row>
    <row r="841" spans="1:1" x14ac:dyDescent="0.25">
      <c r="A841" s="40"/>
    </row>
    <row r="842" spans="1:1" x14ac:dyDescent="0.25">
      <c r="A842" s="40"/>
    </row>
    <row r="843" spans="1:1" x14ac:dyDescent="0.25">
      <c r="A843" s="40"/>
    </row>
    <row r="844" spans="1:1" x14ac:dyDescent="0.25">
      <c r="A844" s="40"/>
    </row>
    <row r="845" spans="1:1" x14ac:dyDescent="0.25">
      <c r="A845" s="40"/>
    </row>
    <row r="846" spans="1:1" x14ac:dyDescent="0.25">
      <c r="A846" s="40"/>
    </row>
    <row r="847" spans="1:1" x14ac:dyDescent="0.25">
      <c r="A847" s="40"/>
    </row>
    <row r="848" spans="1:1" x14ac:dyDescent="0.25">
      <c r="A848" s="40"/>
    </row>
    <row r="849" spans="1:1" x14ac:dyDescent="0.25">
      <c r="A849" s="40"/>
    </row>
    <row r="850" spans="1:1" x14ac:dyDescent="0.25">
      <c r="A850" s="40"/>
    </row>
    <row r="851" spans="1:1" x14ac:dyDescent="0.25">
      <c r="A851" s="40"/>
    </row>
    <row r="852" spans="1:1" x14ac:dyDescent="0.25">
      <c r="A852" s="40"/>
    </row>
    <row r="853" spans="1:1" x14ac:dyDescent="0.25">
      <c r="A853" s="40"/>
    </row>
    <row r="854" spans="1:1" x14ac:dyDescent="0.25">
      <c r="A854" s="40"/>
    </row>
    <row r="855" spans="1:1" x14ac:dyDescent="0.25">
      <c r="A855" s="40"/>
    </row>
    <row r="856" spans="1:1" x14ac:dyDescent="0.25">
      <c r="A856" s="40"/>
    </row>
    <row r="857" spans="1:1" x14ac:dyDescent="0.25">
      <c r="A857" s="40"/>
    </row>
    <row r="858" spans="1:1" x14ac:dyDescent="0.25">
      <c r="A858" s="40"/>
    </row>
    <row r="859" spans="1:1" x14ac:dyDescent="0.25">
      <c r="A859" s="40"/>
    </row>
    <row r="860" spans="1:1" x14ac:dyDescent="0.25">
      <c r="A860" s="40"/>
    </row>
    <row r="861" spans="1:1" x14ac:dyDescent="0.25">
      <c r="A861" s="40"/>
    </row>
    <row r="862" spans="1:1" x14ac:dyDescent="0.25">
      <c r="A862" s="40"/>
    </row>
    <row r="863" spans="1:1" x14ac:dyDescent="0.25">
      <c r="A863" s="40"/>
    </row>
    <row r="864" spans="1:1" x14ac:dyDescent="0.25">
      <c r="A864" s="40"/>
    </row>
    <row r="865" spans="1:1" x14ac:dyDescent="0.25">
      <c r="A865" s="40"/>
    </row>
    <row r="866" spans="1:1" x14ac:dyDescent="0.25">
      <c r="A866" s="40"/>
    </row>
    <row r="867" spans="1:1" x14ac:dyDescent="0.25">
      <c r="A867" s="40"/>
    </row>
    <row r="868" spans="1:1" x14ac:dyDescent="0.25">
      <c r="A868" s="40"/>
    </row>
    <row r="869" spans="1:1" x14ac:dyDescent="0.25">
      <c r="A869" s="40"/>
    </row>
    <row r="870" spans="1:1" x14ac:dyDescent="0.25">
      <c r="A870" s="40"/>
    </row>
    <row r="871" spans="1:1" x14ac:dyDescent="0.25">
      <c r="A871" s="40"/>
    </row>
    <row r="872" spans="1:1" x14ac:dyDescent="0.25">
      <c r="A872" s="40"/>
    </row>
    <row r="873" spans="1:1" x14ac:dyDescent="0.25">
      <c r="A873" s="40"/>
    </row>
    <row r="874" spans="1:1" x14ac:dyDescent="0.25">
      <c r="A874" s="40"/>
    </row>
    <row r="875" spans="1:1" x14ac:dyDescent="0.25">
      <c r="A875" s="40"/>
    </row>
    <row r="876" spans="1:1" x14ac:dyDescent="0.25">
      <c r="A876" s="40"/>
    </row>
    <row r="877" spans="1:1" x14ac:dyDescent="0.25">
      <c r="A877" s="40"/>
    </row>
    <row r="878" spans="1:1" x14ac:dyDescent="0.25">
      <c r="A878" s="40"/>
    </row>
    <row r="879" spans="1:1" x14ac:dyDescent="0.25">
      <c r="A879" s="40"/>
    </row>
    <row r="880" spans="1:1" x14ac:dyDescent="0.25">
      <c r="A880" s="40"/>
    </row>
    <row r="881" spans="1:1" x14ac:dyDescent="0.25">
      <c r="A881" s="40"/>
    </row>
    <row r="882" spans="1:1" x14ac:dyDescent="0.25">
      <c r="A882" s="40"/>
    </row>
    <row r="883" spans="1:1" x14ac:dyDescent="0.25">
      <c r="A883" s="40"/>
    </row>
    <row r="884" spans="1:1" x14ac:dyDescent="0.25">
      <c r="A884" s="40"/>
    </row>
    <row r="885" spans="1:1" x14ac:dyDescent="0.25">
      <c r="A885" s="40"/>
    </row>
    <row r="886" spans="1:1" x14ac:dyDescent="0.25">
      <c r="A886" s="40"/>
    </row>
    <row r="887" spans="1:1" x14ac:dyDescent="0.25">
      <c r="A887" s="40"/>
    </row>
    <row r="888" spans="1:1" x14ac:dyDescent="0.25">
      <c r="A888" s="40"/>
    </row>
    <row r="889" spans="1:1" x14ac:dyDescent="0.25">
      <c r="A889" s="40"/>
    </row>
    <row r="890" spans="1:1" x14ac:dyDescent="0.25">
      <c r="A890" s="40"/>
    </row>
    <row r="891" spans="1:1" x14ac:dyDescent="0.25">
      <c r="A891" s="40"/>
    </row>
    <row r="892" spans="1:1" x14ac:dyDescent="0.25">
      <c r="A892" s="40"/>
    </row>
    <row r="893" spans="1:1" x14ac:dyDescent="0.25">
      <c r="A893" s="40"/>
    </row>
    <row r="894" spans="1:1" x14ac:dyDescent="0.25">
      <c r="A894" s="40"/>
    </row>
    <row r="895" spans="1:1" x14ac:dyDescent="0.25">
      <c r="A895" s="40"/>
    </row>
    <row r="896" spans="1:1" x14ac:dyDescent="0.25">
      <c r="A896" s="40"/>
    </row>
    <row r="897" spans="1:1" x14ac:dyDescent="0.25">
      <c r="A897" s="40"/>
    </row>
    <row r="898" spans="1:1" x14ac:dyDescent="0.25">
      <c r="A898" s="40"/>
    </row>
    <row r="899" spans="1:1" x14ac:dyDescent="0.25">
      <c r="A899" s="40"/>
    </row>
    <row r="900" spans="1:1" x14ac:dyDescent="0.25">
      <c r="A900" s="40"/>
    </row>
    <row r="901" spans="1:1" x14ac:dyDescent="0.25">
      <c r="A901" s="40"/>
    </row>
    <row r="902" spans="1:1" x14ac:dyDescent="0.25">
      <c r="A902" s="40"/>
    </row>
    <row r="903" spans="1:1" x14ac:dyDescent="0.25">
      <c r="A903" s="40"/>
    </row>
    <row r="904" spans="1:1" x14ac:dyDescent="0.25">
      <c r="A904" s="40"/>
    </row>
    <row r="905" spans="1:1" x14ac:dyDescent="0.25">
      <c r="A905" s="40"/>
    </row>
    <row r="906" spans="1:1" x14ac:dyDescent="0.25">
      <c r="A906" s="40"/>
    </row>
    <row r="907" spans="1:1" x14ac:dyDescent="0.25">
      <c r="A907" s="40"/>
    </row>
    <row r="908" spans="1:1" x14ac:dyDescent="0.25">
      <c r="A908" s="40"/>
    </row>
    <row r="909" spans="1:1" x14ac:dyDescent="0.25">
      <c r="A909" s="40"/>
    </row>
    <row r="910" spans="1:1" x14ac:dyDescent="0.25">
      <c r="A910" s="40"/>
    </row>
    <row r="911" spans="1:1" x14ac:dyDescent="0.25">
      <c r="A911" s="40"/>
    </row>
    <row r="912" spans="1:1" x14ac:dyDescent="0.25">
      <c r="A912" s="40"/>
    </row>
    <row r="913" spans="1:1" x14ac:dyDescent="0.25">
      <c r="A913" s="40"/>
    </row>
    <row r="914" spans="1:1" x14ac:dyDescent="0.25">
      <c r="A914" s="40"/>
    </row>
    <row r="915" spans="1:1" x14ac:dyDescent="0.25">
      <c r="A915" s="40"/>
    </row>
    <row r="916" spans="1:1" x14ac:dyDescent="0.25">
      <c r="A916" s="40"/>
    </row>
    <row r="917" spans="1:1" x14ac:dyDescent="0.25">
      <c r="A917" s="40"/>
    </row>
    <row r="918" spans="1:1" x14ac:dyDescent="0.25">
      <c r="A918" s="40"/>
    </row>
    <row r="919" spans="1:1" x14ac:dyDescent="0.25">
      <c r="A919" s="40"/>
    </row>
    <row r="920" spans="1:1" x14ac:dyDescent="0.25">
      <c r="A920" s="40"/>
    </row>
    <row r="921" spans="1:1" x14ac:dyDescent="0.25">
      <c r="A921" s="40"/>
    </row>
    <row r="922" spans="1:1" x14ac:dyDescent="0.25">
      <c r="A922" s="40"/>
    </row>
    <row r="923" spans="1:1" x14ac:dyDescent="0.25">
      <c r="A923" s="40"/>
    </row>
    <row r="924" spans="1:1" x14ac:dyDescent="0.25">
      <c r="A924" s="40"/>
    </row>
    <row r="925" spans="1:1" x14ac:dyDescent="0.25">
      <c r="A925" s="40"/>
    </row>
    <row r="926" spans="1:1" x14ac:dyDescent="0.25">
      <c r="A926" s="40"/>
    </row>
    <row r="927" spans="1:1" x14ac:dyDescent="0.25">
      <c r="A927" s="40"/>
    </row>
    <row r="928" spans="1:1" x14ac:dyDescent="0.25">
      <c r="A928" s="40"/>
    </row>
    <row r="929" spans="1:1" x14ac:dyDescent="0.25">
      <c r="A929" s="40"/>
    </row>
    <row r="930" spans="1:1" x14ac:dyDescent="0.25">
      <c r="A930" s="40"/>
    </row>
    <row r="931" spans="1:1" x14ac:dyDescent="0.25">
      <c r="A931" s="40"/>
    </row>
    <row r="932" spans="1:1" x14ac:dyDescent="0.25">
      <c r="A932" s="40"/>
    </row>
    <row r="933" spans="1:1" x14ac:dyDescent="0.25">
      <c r="A933" s="40"/>
    </row>
    <row r="934" spans="1:1" x14ac:dyDescent="0.25">
      <c r="A934" s="40"/>
    </row>
    <row r="935" spans="1:1" x14ac:dyDescent="0.25">
      <c r="A935" s="40"/>
    </row>
    <row r="936" spans="1:1" x14ac:dyDescent="0.25">
      <c r="A936" s="40"/>
    </row>
    <row r="937" spans="1:1" x14ac:dyDescent="0.25">
      <c r="A937" s="40"/>
    </row>
    <row r="938" spans="1:1" x14ac:dyDescent="0.25">
      <c r="A938" s="40"/>
    </row>
    <row r="939" spans="1:1" x14ac:dyDescent="0.25">
      <c r="A939" s="40"/>
    </row>
    <row r="940" spans="1:1" x14ac:dyDescent="0.25">
      <c r="A940" s="40"/>
    </row>
    <row r="941" spans="1:1" x14ac:dyDescent="0.25">
      <c r="A941" s="40"/>
    </row>
    <row r="942" spans="1:1" x14ac:dyDescent="0.25">
      <c r="A942" s="40"/>
    </row>
    <row r="943" spans="1:1" x14ac:dyDescent="0.25">
      <c r="A943" s="40"/>
    </row>
    <row r="944" spans="1:1" x14ac:dyDescent="0.25">
      <c r="A944" s="40"/>
    </row>
    <row r="945" spans="1:1" x14ac:dyDescent="0.25">
      <c r="A945" s="40"/>
    </row>
    <row r="946" spans="1:1" x14ac:dyDescent="0.25">
      <c r="A946" s="40"/>
    </row>
    <row r="947" spans="1:1" x14ac:dyDescent="0.25">
      <c r="A947" s="40"/>
    </row>
    <row r="948" spans="1:1" x14ac:dyDescent="0.25">
      <c r="A948" s="40"/>
    </row>
    <row r="949" spans="1:1" x14ac:dyDescent="0.25">
      <c r="A949" s="40"/>
    </row>
    <row r="950" spans="1:1" x14ac:dyDescent="0.25">
      <c r="A950" s="40"/>
    </row>
    <row r="951" spans="1:1" x14ac:dyDescent="0.25">
      <c r="A951" s="40"/>
    </row>
    <row r="952" spans="1:1" x14ac:dyDescent="0.25">
      <c r="A952" s="40"/>
    </row>
    <row r="953" spans="1:1" x14ac:dyDescent="0.25">
      <c r="A953" s="40"/>
    </row>
    <row r="954" spans="1:1" x14ac:dyDescent="0.25">
      <c r="A954" s="40"/>
    </row>
    <row r="955" spans="1:1" x14ac:dyDescent="0.25">
      <c r="A955" s="40"/>
    </row>
    <row r="956" spans="1:1" x14ac:dyDescent="0.25">
      <c r="A956" s="40"/>
    </row>
    <row r="957" spans="1:1" x14ac:dyDescent="0.25">
      <c r="A957" s="40"/>
    </row>
    <row r="958" spans="1:1" x14ac:dyDescent="0.25">
      <c r="A958" s="40"/>
    </row>
    <row r="959" spans="1:1" x14ac:dyDescent="0.25">
      <c r="A959" s="40"/>
    </row>
    <row r="960" spans="1:1" x14ac:dyDescent="0.25">
      <c r="A960" s="40"/>
    </row>
    <row r="961" spans="1:1" x14ac:dyDescent="0.25">
      <c r="A961" s="40"/>
    </row>
    <row r="962" spans="1:1" x14ac:dyDescent="0.25">
      <c r="A962" s="40"/>
    </row>
    <row r="963" spans="1:1" x14ac:dyDescent="0.25">
      <c r="A963" s="40"/>
    </row>
    <row r="964" spans="1:1" x14ac:dyDescent="0.25">
      <c r="A964" s="40"/>
    </row>
    <row r="965" spans="1:1" x14ac:dyDescent="0.25">
      <c r="A965" s="40"/>
    </row>
    <row r="966" spans="1:1" x14ac:dyDescent="0.25">
      <c r="A966" s="40"/>
    </row>
    <row r="967" spans="1:1" x14ac:dyDescent="0.25">
      <c r="A967" s="40"/>
    </row>
    <row r="968" spans="1:1" x14ac:dyDescent="0.25">
      <c r="A968" s="40"/>
    </row>
    <row r="969" spans="1:1" x14ac:dyDescent="0.25">
      <c r="A969" s="40"/>
    </row>
    <row r="970" spans="1:1" x14ac:dyDescent="0.25">
      <c r="A970" s="40"/>
    </row>
    <row r="971" spans="1:1" x14ac:dyDescent="0.25">
      <c r="A971" s="40"/>
    </row>
    <row r="972" spans="1:1" x14ac:dyDescent="0.25">
      <c r="A972" s="40"/>
    </row>
    <row r="973" spans="1:1" x14ac:dyDescent="0.25">
      <c r="A973" s="40"/>
    </row>
    <row r="974" spans="1:1" x14ac:dyDescent="0.25">
      <c r="A974" s="40"/>
    </row>
    <row r="975" spans="1:1" x14ac:dyDescent="0.25">
      <c r="A975" s="40"/>
    </row>
    <row r="976" spans="1:1" x14ac:dyDescent="0.25">
      <c r="A976" s="40"/>
    </row>
    <row r="977" spans="1:1" x14ac:dyDescent="0.25">
      <c r="A977" s="40"/>
    </row>
    <row r="978" spans="1:1" x14ac:dyDescent="0.25">
      <c r="A978" s="40"/>
    </row>
    <row r="979" spans="1:1" x14ac:dyDescent="0.25">
      <c r="A979" s="40"/>
    </row>
    <row r="980" spans="1:1" x14ac:dyDescent="0.25">
      <c r="A980" s="40"/>
    </row>
    <row r="981" spans="1:1" x14ac:dyDescent="0.25">
      <c r="A981" s="40"/>
    </row>
    <row r="982" spans="1:1" x14ac:dyDescent="0.25">
      <c r="A982" s="40"/>
    </row>
    <row r="983" spans="1:1" x14ac:dyDescent="0.25">
      <c r="A983" s="40"/>
    </row>
    <row r="984" spans="1:1" x14ac:dyDescent="0.25">
      <c r="A984" s="40"/>
    </row>
    <row r="985" spans="1:1" x14ac:dyDescent="0.25">
      <c r="A985" s="40"/>
    </row>
    <row r="986" spans="1:1" x14ac:dyDescent="0.25">
      <c r="A986" s="40"/>
    </row>
    <row r="987" spans="1:1" x14ac:dyDescent="0.25">
      <c r="A987" s="40"/>
    </row>
    <row r="988" spans="1:1" x14ac:dyDescent="0.25">
      <c r="A988" s="40"/>
    </row>
    <row r="989" spans="1:1" x14ac:dyDescent="0.25">
      <c r="A989" s="40"/>
    </row>
    <row r="990" spans="1:1" x14ac:dyDescent="0.25">
      <c r="A990" s="40"/>
    </row>
    <row r="991" spans="1:1" x14ac:dyDescent="0.25">
      <c r="A991" s="40"/>
    </row>
    <row r="992" spans="1:1" x14ac:dyDescent="0.25">
      <c r="A992" s="40"/>
    </row>
    <row r="993" spans="1:1" x14ac:dyDescent="0.25">
      <c r="A993" s="40"/>
    </row>
    <row r="994" spans="1:1" x14ac:dyDescent="0.25">
      <c r="A994" s="40"/>
    </row>
    <row r="995" spans="1:1" x14ac:dyDescent="0.25">
      <c r="A995" s="40"/>
    </row>
    <row r="996" spans="1:1" x14ac:dyDescent="0.25">
      <c r="A996" s="40"/>
    </row>
    <row r="997" spans="1:1" x14ac:dyDescent="0.25">
      <c r="A997" s="40"/>
    </row>
    <row r="998" spans="1:1" x14ac:dyDescent="0.25">
      <c r="A998" s="40"/>
    </row>
    <row r="999" spans="1:1" x14ac:dyDescent="0.25">
      <c r="A999" s="40"/>
    </row>
    <row r="1000" spans="1:1" x14ac:dyDescent="0.25">
      <c r="A1000" s="40"/>
    </row>
    <row r="1001" spans="1:1" x14ac:dyDescent="0.25">
      <c r="A1001" s="40"/>
    </row>
    <row r="1002" spans="1:1" x14ac:dyDescent="0.25">
      <c r="A1002" s="40"/>
    </row>
    <row r="1003" spans="1:1" x14ac:dyDescent="0.25">
      <c r="A1003" s="40"/>
    </row>
    <row r="1004" spans="1:1" x14ac:dyDescent="0.25">
      <c r="A1004" s="40"/>
    </row>
    <row r="1005" spans="1:1" x14ac:dyDescent="0.25">
      <c r="A1005" s="40"/>
    </row>
    <row r="1006" spans="1:1" x14ac:dyDescent="0.25">
      <c r="A1006" s="40"/>
    </row>
    <row r="1007" spans="1:1" x14ac:dyDescent="0.25">
      <c r="A1007" s="40"/>
    </row>
    <row r="1008" spans="1:1" x14ac:dyDescent="0.25">
      <c r="A1008" s="40"/>
    </row>
    <row r="1009" spans="1:1" x14ac:dyDescent="0.25">
      <c r="A1009" s="40"/>
    </row>
    <row r="1010" spans="1:1" x14ac:dyDescent="0.25">
      <c r="A1010" s="40"/>
    </row>
    <row r="1011" spans="1:1" x14ac:dyDescent="0.25">
      <c r="A1011" s="40"/>
    </row>
    <row r="1012" spans="1:1" x14ac:dyDescent="0.25">
      <c r="A1012" s="40"/>
    </row>
    <row r="1013" spans="1:1" x14ac:dyDescent="0.25">
      <c r="A1013" s="40"/>
    </row>
    <row r="1014" spans="1:1" x14ac:dyDescent="0.25">
      <c r="A1014" s="40"/>
    </row>
    <row r="1015" spans="1:1" x14ac:dyDescent="0.25">
      <c r="A1015" s="40"/>
    </row>
    <row r="1016" spans="1:1" x14ac:dyDescent="0.25">
      <c r="A1016" s="40"/>
    </row>
    <row r="1017" spans="1:1" x14ac:dyDescent="0.25">
      <c r="A1017" s="40"/>
    </row>
    <row r="1018" spans="1:1" x14ac:dyDescent="0.25">
      <c r="A1018" s="40"/>
    </row>
    <row r="1019" spans="1:1" x14ac:dyDescent="0.25">
      <c r="A1019" s="40"/>
    </row>
    <row r="1020" spans="1:1" x14ac:dyDescent="0.25">
      <c r="A1020" s="40"/>
    </row>
    <row r="1021" spans="1:1" x14ac:dyDescent="0.25">
      <c r="A1021" s="40"/>
    </row>
    <row r="1022" spans="1:1" x14ac:dyDescent="0.25">
      <c r="A1022" s="40"/>
    </row>
    <row r="1023" spans="1:1" x14ac:dyDescent="0.25">
      <c r="A1023" s="40"/>
    </row>
    <row r="1024" spans="1:1" x14ac:dyDescent="0.25">
      <c r="A1024" s="40"/>
    </row>
    <row r="1025" spans="1:1" x14ac:dyDescent="0.25">
      <c r="A1025" s="40"/>
    </row>
    <row r="1026" spans="1:1" x14ac:dyDescent="0.25">
      <c r="A1026" s="40"/>
    </row>
    <row r="1027" spans="1:1" x14ac:dyDescent="0.25">
      <c r="A1027" s="40"/>
    </row>
    <row r="1028" spans="1:1" x14ac:dyDescent="0.25">
      <c r="A1028" s="40"/>
    </row>
    <row r="1029" spans="1:1" x14ac:dyDescent="0.25">
      <c r="A1029" s="40"/>
    </row>
    <row r="1030" spans="1:1" x14ac:dyDescent="0.25">
      <c r="A1030" s="40"/>
    </row>
    <row r="1031" spans="1:1" x14ac:dyDescent="0.25">
      <c r="A1031" s="40"/>
    </row>
    <row r="1032" spans="1:1" x14ac:dyDescent="0.25">
      <c r="A1032" s="40"/>
    </row>
    <row r="1033" spans="1:1" x14ac:dyDescent="0.25">
      <c r="A1033" s="40"/>
    </row>
    <row r="1034" spans="1:1" x14ac:dyDescent="0.25">
      <c r="A1034" s="40"/>
    </row>
    <row r="1035" spans="1:1" x14ac:dyDescent="0.25">
      <c r="A1035" s="40"/>
    </row>
    <row r="1036" spans="1:1" x14ac:dyDescent="0.25">
      <c r="A1036" s="40"/>
    </row>
    <row r="1037" spans="1:1" x14ac:dyDescent="0.25">
      <c r="A1037" s="40"/>
    </row>
    <row r="1038" spans="1:1" x14ac:dyDescent="0.25">
      <c r="A1038" s="40"/>
    </row>
    <row r="1039" spans="1:1" x14ac:dyDescent="0.25">
      <c r="A1039" s="40"/>
    </row>
    <row r="1040" spans="1:1" x14ac:dyDescent="0.25">
      <c r="A1040" s="40"/>
    </row>
    <row r="1041" spans="1:1" x14ac:dyDescent="0.25">
      <c r="A1041" s="40"/>
    </row>
    <row r="1042" spans="1:1" x14ac:dyDescent="0.25">
      <c r="A1042" s="40"/>
    </row>
    <row r="1043" spans="1:1" x14ac:dyDescent="0.25">
      <c r="A1043" s="40"/>
    </row>
    <row r="1044" spans="1:1" x14ac:dyDescent="0.25">
      <c r="A1044" s="40"/>
    </row>
    <row r="1045" spans="1:1" x14ac:dyDescent="0.25">
      <c r="A1045" s="40"/>
    </row>
    <row r="1046" spans="1:1" x14ac:dyDescent="0.25">
      <c r="A1046" s="40"/>
    </row>
    <row r="1047" spans="1:1" x14ac:dyDescent="0.25">
      <c r="A1047" s="40"/>
    </row>
    <row r="1048" spans="1:1" x14ac:dyDescent="0.25">
      <c r="A1048" s="40"/>
    </row>
    <row r="1049" spans="1:1" x14ac:dyDescent="0.25">
      <c r="A1049" s="40"/>
    </row>
    <row r="1050" spans="1:1" x14ac:dyDescent="0.25">
      <c r="A1050" s="40"/>
    </row>
    <row r="1051" spans="1:1" x14ac:dyDescent="0.25">
      <c r="A1051" s="40"/>
    </row>
    <row r="1052" spans="1:1" x14ac:dyDescent="0.25">
      <c r="A1052" s="40"/>
    </row>
    <row r="1053" spans="1:1" x14ac:dyDescent="0.25">
      <c r="A1053" s="40"/>
    </row>
    <row r="1054" spans="1:1" x14ac:dyDescent="0.25">
      <c r="A1054" s="40"/>
    </row>
    <row r="1055" spans="1:1" x14ac:dyDescent="0.25">
      <c r="A1055" s="40"/>
    </row>
    <row r="1056" spans="1:1" x14ac:dyDescent="0.25">
      <c r="A1056" s="40"/>
    </row>
    <row r="1057" spans="1:1" x14ac:dyDescent="0.25">
      <c r="A1057" s="40"/>
    </row>
    <row r="1058" spans="1:1" x14ac:dyDescent="0.25">
      <c r="A1058" s="40"/>
    </row>
    <row r="1059" spans="1:1" x14ac:dyDescent="0.25">
      <c r="A1059" s="40"/>
    </row>
    <row r="1060" spans="1:1" x14ac:dyDescent="0.25">
      <c r="A1060" s="40"/>
    </row>
    <row r="1061" spans="1:1" x14ac:dyDescent="0.25">
      <c r="A1061" s="40"/>
    </row>
    <row r="1062" spans="1:1" x14ac:dyDescent="0.25">
      <c r="A1062" s="40"/>
    </row>
    <row r="1063" spans="1:1" x14ac:dyDescent="0.25">
      <c r="A1063" s="40"/>
    </row>
    <row r="1064" spans="1:1" x14ac:dyDescent="0.25">
      <c r="A1064" s="40"/>
    </row>
    <row r="1065" spans="1:1" x14ac:dyDescent="0.25">
      <c r="A1065" s="40"/>
    </row>
    <row r="1066" spans="1:1" x14ac:dyDescent="0.25">
      <c r="A1066" s="40"/>
    </row>
    <row r="1067" spans="1:1" x14ac:dyDescent="0.25">
      <c r="A1067" s="40"/>
    </row>
    <row r="1068" spans="1:1" x14ac:dyDescent="0.25">
      <c r="A1068" s="40"/>
    </row>
    <row r="1069" spans="1:1" x14ac:dyDescent="0.25">
      <c r="A1069" s="40"/>
    </row>
    <row r="1070" spans="1:1" x14ac:dyDescent="0.25">
      <c r="A1070" s="40"/>
    </row>
    <row r="1071" spans="1:1" x14ac:dyDescent="0.25">
      <c r="A1071" s="40"/>
    </row>
    <row r="1072" spans="1:1" x14ac:dyDescent="0.25">
      <c r="A1072" s="40"/>
    </row>
    <row r="1073" spans="1:1" x14ac:dyDescent="0.25">
      <c r="A1073" s="40"/>
    </row>
    <row r="1074" spans="1:1" x14ac:dyDescent="0.25">
      <c r="A1074" s="40"/>
    </row>
    <row r="1075" spans="1:1" x14ac:dyDescent="0.25">
      <c r="A1075" s="40"/>
    </row>
    <row r="1076" spans="1:1" x14ac:dyDescent="0.25">
      <c r="A1076" s="40"/>
    </row>
    <row r="1077" spans="1:1" x14ac:dyDescent="0.25">
      <c r="A1077" s="40"/>
    </row>
    <row r="1078" spans="1:1" x14ac:dyDescent="0.25">
      <c r="A1078" s="40"/>
    </row>
    <row r="1079" spans="1:1" x14ac:dyDescent="0.25">
      <c r="A1079" s="40"/>
    </row>
    <row r="1080" spans="1:1" x14ac:dyDescent="0.25">
      <c r="A1080" s="40"/>
    </row>
    <row r="1081" spans="1:1" x14ac:dyDescent="0.25">
      <c r="A1081" s="40"/>
    </row>
    <row r="1082" spans="1:1" x14ac:dyDescent="0.25">
      <c r="A1082" s="40"/>
    </row>
    <row r="1083" spans="1:1" x14ac:dyDescent="0.25">
      <c r="A1083" s="40"/>
    </row>
    <row r="1084" spans="1:1" x14ac:dyDescent="0.25">
      <c r="A1084" s="40"/>
    </row>
    <row r="1085" spans="1:1" x14ac:dyDescent="0.25">
      <c r="A1085" s="40"/>
    </row>
    <row r="1086" spans="1:1" x14ac:dyDescent="0.25">
      <c r="A1086" s="40"/>
    </row>
    <row r="1087" spans="1:1" x14ac:dyDescent="0.25">
      <c r="A1087" s="40"/>
    </row>
    <row r="1088" spans="1:1" x14ac:dyDescent="0.25">
      <c r="A1088" s="40"/>
    </row>
    <row r="1089" spans="1:1" x14ac:dyDescent="0.25">
      <c r="A1089" s="40"/>
    </row>
    <row r="1090" spans="1:1" x14ac:dyDescent="0.25">
      <c r="A1090" s="40"/>
    </row>
    <row r="1091" spans="1:1" x14ac:dyDescent="0.25">
      <c r="A1091" s="40"/>
    </row>
    <row r="1092" spans="1:1" x14ac:dyDescent="0.25">
      <c r="A1092" s="40"/>
    </row>
    <row r="1093" spans="1:1" x14ac:dyDescent="0.25">
      <c r="A1093" s="40"/>
    </row>
    <row r="1094" spans="1:1" x14ac:dyDescent="0.25">
      <c r="A1094" s="40"/>
    </row>
    <row r="1095" spans="1:1" x14ac:dyDescent="0.25">
      <c r="A1095" s="40"/>
    </row>
    <row r="1096" spans="1:1" x14ac:dyDescent="0.25">
      <c r="A1096" s="40"/>
    </row>
    <row r="1097" spans="1:1" x14ac:dyDescent="0.25">
      <c r="A1097" s="40"/>
    </row>
    <row r="1098" spans="1:1" x14ac:dyDescent="0.25">
      <c r="A1098" s="40"/>
    </row>
    <row r="1099" spans="1:1" x14ac:dyDescent="0.25">
      <c r="A1099" s="40"/>
    </row>
    <row r="1100" spans="1:1" x14ac:dyDescent="0.25">
      <c r="A1100" s="40"/>
    </row>
    <row r="1101" spans="1:1" x14ac:dyDescent="0.25">
      <c r="A1101" s="40"/>
    </row>
    <row r="1102" spans="1:1" x14ac:dyDescent="0.25">
      <c r="A1102" s="40"/>
    </row>
    <row r="1103" spans="1:1" x14ac:dyDescent="0.25">
      <c r="A1103" s="40"/>
    </row>
    <row r="1104" spans="1:1" x14ac:dyDescent="0.25">
      <c r="A1104" s="40"/>
    </row>
    <row r="1105" spans="1:1" x14ac:dyDescent="0.25">
      <c r="A1105" s="40"/>
    </row>
    <row r="1106" spans="1:1" x14ac:dyDescent="0.25">
      <c r="A1106" s="40"/>
    </row>
    <row r="1107" spans="1:1" x14ac:dyDescent="0.25">
      <c r="A1107" s="40"/>
    </row>
    <row r="1108" spans="1:1" x14ac:dyDescent="0.25">
      <c r="A1108" s="40"/>
    </row>
    <row r="1109" spans="1:1" x14ac:dyDescent="0.25">
      <c r="A1109" s="40"/>
    </row>
    <row r="1110" spans="1:1" x14ac:dyDescent="0.25">
      <c r="A1110" s="40"/>
    </row>
    <row r="1111" spans="1:1" x14ac:dyDescent="0.25">
      <c r="A1111" s="40"/>
    </row>
    <row r="1112" spans="1:1" x14ac:dyDescent="0.25">
      <c r="A1112" s="40"/>
    </row>
    <row r="1113" spans="1:1" x14ac:dyDescent="0.25">
      <c r="A1113" s="40"/>
    </row>
    <row r="1114" spans="1:1" x14ac:dyDescent="0.25">
      <c r="A1114" s="40"/>
    </row>
    <row r="1115" spans="1:1" x14ac:dyDescent="0.25">
      <c r="A1115" s="40"/>
    </row>
    <row r="1116" spans="1:1" x14ac:dyDescent="0.25">
      <c r="A1116" s="40"/>
    </row>
    <row r="1117" spans="1:1" x14ac:dyDescent="0.25">
      <c r="A1117" s="40"/>
    </row>
    <row r="1118" spans="1:1" x14ac:dyDescent="0.25">
      <c r="A1118" s="40"/>
    </row>
    <row r="1119" spans="1:1" x14ac:dyDescent="0.25">
      <c r="A1119" s="40"/>
    </row>
    <row r="1120" spans="1:1" x14ac:dyDescent="0.25">
      <c r="A1120" s="40"/>
    </row>
    <row r="1121" spans="1:1" x14ac:dyDescent="0.25">
      <c r="A1121" s="40"/>
    </row>
    <row r="1122" spans="1:1" x14ac:dyDescent="0.25">
      <c r="A1122" s="40"/>
    </row>
    <row r="1123" spans="1:1" x14ac:dyDescent="0.25">
      <c r="A1123" s="40"/>
    </row>
    <row r="1124" spans="1:1" x14ac:dyDescent="0.25">
      <c r="A1124" s="40"/>
    </row>
    <row r="1125" spans="1:1" x14ac:dyDescent="0.25">
      <c r="A1125" s="40"/>
    </row>
    <row r="1126" spans="1:1" x14ac:dyDescent="0.25">
      <c r="A1126" s="40"/>
    </row>
    <row r="1127" spans="1:1" x14ac:dyDescent="0.25">
      <c r="A1127" s="40"/>
    </row>
    <row r="1128" spans="1:1" x14ac:dyDescent="0.25">
      <c r="A1128" s="40"/>
    </row>
    <row r="1129" spans="1:1" x14ac:dyDescent="0.25">
      <c r="A1129" s="40"/>
    </row>
    <row r="1130" spans="1:1" x14ac:dyDescent="0.25">
      <c r="A1130" s="40"/>
    </row>
    <row r="1131" spans="1:1" x14ac:dyDescent="0.25">
      <c r="A1131" s="40"/>
    </row>
    <row r="1132" spans="1:1" x14ac:dyDescent="0.25">
      <c r="A1132" s="40"/>
    </row>
    <row r="1133" spans="1:1" x14ac:dyDescent="0.25">
      <c r="A1133" s="40"/>
    </row>
    <row r="1134" spans="1:1" x14ac:dyDescent="0.25">
      <c r="A1134" s="40"/>
    </row>
    <row r="1135" spans="1:1" x14ac:dyDescent="0.25">
      <c r="A1135" s="40"/>
    </row>
    <row r="1136" spans="1:1" x14ac:dyDescent="0.25">
      <c r="A1136" s="40"/>
    </row>
    <row r="1137" spans="1:1" x14ac:dyDescent="0.25">
      <c r="A1137" s="40"/>
    </row>
    <row r="1138" spans="1:1" x14ac:dyDescent="0.25">
      <c r="A1138" s="40"/>
    </row>
    <row r="1139" spans="1:1" x14ac:dyDescent="0.25">
      <c r="A1139" s="40"/>
    </row>
    <row r="1140" spans="1:1" x14ac:dyDescent="0.25">
      <c r="A1140" s="40"/>
    </row>
    <row r="1141" spans="1:1" x14ac:dyDescent="0.25">
      <c r="A1141" s="40"/>
    </row>
    <row r="1142" spans="1:1" x14ac:dyDescent="0.25">
      <c r="A1142" s="40"/>
    </row>
    <row r="1143" spans="1:1" x14ac:dyDescent="0.25">
      <c r="A1143" s="40"/>
    </row>
    <row r="1144" spans="1:1" x14ac:dyDescent="0.25">
      <c r="A1144" s="40"/>
    </row>
    <row r="1145" spans="1:1" x14ac:dyDescent="0.25">
      <c r="A1145" s="40"/>
    </row>
    <row r="1146" spans="1:1" x14ac:dyDescent="0.25">
      <c r="A1146" s="40"/>
    </row>
    <row r="1147" spans="1:1" x14ac:dyDescent="0.25">
      <c r="A1147" s="40"/>
    </row>
    <row r="1148" spans="1:1" x14ac:dyDescent="0.25">
      <c r="A1148" s="40"/>
    </row>
    <row r="1149" spans="1:1" x14ac:dyDescent="0.25">
      <c r="A1149" s="40"/>
    </row>
    <row r="1150" spans="1:1" x14ac:dyDescent="0.25">
      <c r="A1150" s="40"/>
    </row>
    <row r="1151" spans="1:1" x14ac:dyDescent="0.25">
      <c r="A1151" s="40"/>
    </row>
    <row r="1152" spans="1:1" x14ac:dyDescent="0.25">
      <c r="A1152" s="40"/>
    </row>
    <row r="1153" spans="1:1" x14ac:dyDescent="0.25">
      <c r="A1153" s="40"/>
    </row>
    <row r="1154" spans="1:1" x14ac:dyDescent="0.25">
      <c r="A1154" s="40"/>
    </row>
    <row r="1155" spans="1:1" x14ac:dyDescent="0.25">
      <c r="A1155" s="40"/>
    </row>
    <row r="1156" spans="1:1" x14ac:dyDescent="0.25">
      <c r="A1156" s="40"/>
    </row>
    <row r="1157" spans="1:1" x14ac:dyDescent="0.25">
      <c r="A1157" s="40"/>
    </row>
    <row r="1158" spans="1:1" x14ac:dyDescent="0.25">
      <c r="A1158" s="40"/>
    </row>
    <row r="1159" spans="1:1" x14ac:dyDescent="0.25">
      <c r="A1159" s="40"/>
    </row>
    <row r="1160" spans="1:1" x14ac:dyDescent="0.25">
      <c r="A1160" s="40"/>
    </row>
    <row r="1161" spans="1:1" x14ac:dyDescent="0.25">
      <c r="A1161" s="40"/>
    </row>
    <row r="1162" spans="1:1" x14ac:dyDescent="0.25">
      <c r="A1162" s="40"/>
    </row>
    <row r="1163" spans="1:1" x14ac:dyDescent="0.25">
      <c r="A1163" s="40"/>
    </row>
    <row r="1164" spans="1:1" x14ac:dyDescent="0.25">
      <c r="A1164" s="40"/>
    </row>
    <row r="1165" spans="1:1" x14ac:dyDescent="0.25">
      <c r="A1165" s="40"/>
    </row>
    <row r="1166" spans="1:1" x14ac:dyDescent="0.25">
      <c r="A1166" s="40"/>
    </row>
    <row r="1167" spans="1:1" x14ac:dyDescent="0.25">
      <c r="A1167" s="40"/>
    </row>
    <row r="1168" spans="1:1" x14ac:dyDescent="0.25">
      <c r="A1168" s="40"/>
    </row>
    <row r="1169" spans="1:1" x14ac:dyDescent="0.25">
      <c r="A1169" s="40"/>
    </row>
    <row r="1170" spans="1:1" x14ac:dyDescent="0.25">
      <c r="A1170" s="40"/>
    </row>
    <row r="1171" spans="1:1" x14ac:dyDescent="0.25">
      <c r="A1171" s="40"/>
    </row>
    <row r="1172" spans="1:1" x14ac:dyDescent="0.25">
      <c r="A1172" s="40"/>
    </row>
    <row r="1173" spans="1:1" x14ac:dyDescent="0.25">
      <c r="A1173" s="40"/>
    </row>
    <row r="1174" spans="1:1" x14ac:dyDescent="0.25">
      <c r="A1174" s="40"/>
    </row>
    <row r="1175" spans="1:1" x14ac:dyDescent="0.25">
      <c r="A1175" s="40"/>
    </row>
    <row r="1176" spans="1:1" x14ac:dyDescent="0.25">
      <c r="A1176" s="40"/>
    </row>
    <row r="1177" spans="1:1" x14ac:dyDescent="0.25">
      <c r="A1177" s="40"/>
    </row>
    <row r="1178" spans="1:1" x14ac:dyDescent="0.25">
      <c r="A1178" s="40"/>
    </row>
    <row r="1179" spans="1:1" x14ac:dyDescent="0.25">
      <c r="A1179" s="40"/>
    </row>
    <row r="1180" spans="1:1" x14ac:dyDescent="0.25">
      <c r="A1180" s="40"/>
    </row>
    <row r="1181" spans="1:1" x14ac:dyDescent="0.25">
      <c r="A1181" s="40"/>
    </row>
    <row r="1182" spans="1:1" x14ac:dyDescent="0.25">
      <c r="A1182" s="40"/>
    </row>
    <row r="1183" spans="1:1" x14ac:dyDescent="0.25">
      <c r="A1183" s="40"/>
    </row>
    <row r="1184" spans="1:1" x14ac:dyDescent="0.25">
      <c r="A1184" s="40"/>
    </row>
    <row r="1185" spans="1:1" x14ac:dyDescent="0.25">
      <c r="A1185" s="40"/>
    </row>
    <row r="1186" spans="1:1" x14ac:dyDescent="0.25">
      <c r="A1186" s="40"/>
    </row>
    <row r="1187" spans="1:1" x14ac:dyDescent="0.25">
      <c r="A1187" s="40"/>
    </row>
    <row r="1188" spans="1:1" x14ac:dyDescent="0.25">
      <c r="A1188" s="40"/>
    </row>
    <row r="1189" spans="1:1" x14ac:dyDescent="0.25">
      <c r="A1189" s="40"/>
    </row>
    <row r="1190" spans="1:1" x14ac:dyDescent="0.25">
      <c r="A1190" s="40"/>
    </row>
    <row r="1191" spans="1:1" x14ac:dyDescent="0.25">
      <c r="A1191" s="40"/>
    </row>
    <row r="1192" spans="1:1" x14ac:dyDescent="0.25">
      <c r="A1192" s="40"/>
    </row>
    <row r="1193" spans="1:1" x14ac:dyDescent="0.25">
      <c r="A1193" s="40"/>
    </row>
    <row r="1194" spans="1:1" x14ac:dyDescent="0.25">
      <c r="A1194" s="40"/>
    </row>
    <row r="1195" spans="1:1" x14ac:dyDescent="0.25">
      <c r="A1195" s="40"/>
    </row>
    <row r="1196" spans="1:1" x14ac:dyDescent="0.25">
      <c r="A1196" s="40"/>
    </row>
    <row r="1197" spans="1:1" x14ac:dyDescent="0.25">
      <c r="A1197" s="40"/>
    </row>
    <row r="1198" spans="1:1" x14ac:dyDescent="0.25">
      <c r="A1198" s="40"/>
    </row>
    <row r="1199" spans="1:1" x14ac:dyDescent="0.25">
      <c r="A1199" s="40"/>
    </row>
    <row r="1200" spans="1:1" x14ac:dyDescent="0.25">
      <c r="A1200" s="40"/>
    </row>
    <row r="1201" spans="1:1" x14ac:dyDescent="0.25">
      <c r="A1201" s="40"/>
    </row>
    <row r="1202" spans="1:1" x14ac:dyDescent="0.25">
      <c r="A1202" s="40"/>
    </row>
    <row r="1203" spans="1:1" x14ac:dyDescent="0.25">
      <c r="A1203" s="40"/>
    </row>
    <row r="1204" spans="1:1" x14ac:dyDescent="0.25">
      <c r="A1204" s="40"/>
    </row>
    <row r="1205" spans="1:1" x14ac:dyDescent="0.25">
      <c r="A1205" s="40"/>
    </row>
    <row r="1206" spans="1:1" x14ac:dyDescent="0.25">
      <c r="A1206" s="40"/>
    </row>
    <row r="1207" spans="1:1" x14ac:dyDescent="0.25">
      <c r="A1207" s="40"/>
    </row>
    <row r="1208" spans="1:1" x14ac:dyDescent="0.25">
      <c r="A1208" s="40"/>
    </row>
    <row r="1209" spans="1:1" x14ac:dyDescent="0.25">
      <c r="A1209" s="40"/>
    </row>
    <row r="1210" spans="1:1" x14ac:dyDescent="0.25">
      <c r="A1210" s="40"/>
    </row>
    <row r="1211" spans="1:1" x14ac:dyDescent="0.25">
      <c r="A1211" s="40"/>
    </row>
    <row r="1212" spans="1:1" x14ac:dyDescent="0.25">
      <c r="A1212" s="40"/>
    </row>
    <row r="1213" spans="1:1" x14ac:dyDescent="0.25">
      <c r="A1213" s="40"/>
    </row>
    <row r="1214" spans="1:1" x14ac:dyDescent="0.25">
      <c r="A1214" s="40"/>
    </row>
    <row r="1215" spans="1:1" x14ac:dyDescent="0.25">
      <c r="A1215" s="40"/>
    </row>
    <row r="1216" spans="1:1" x14ac:dyDescent="0.25">
      <c r="A1216" s="40"/>
    </row>
    <row r="1217" spans="1:1" x14ac:dyDescent="0.25">
      <c r="A1217" s="40"/>
    </row>
    <row r="1218" spans="1:1" x14ac:dyDescent="0.25">
      <c r="A1218" s="40"/>
    </row>
    <row r="1219" spans="1:1" x14ac:dyDescent="0.25">
      <c r="A1219" s="40"/>
    </row>
    <row r="1220" spans="1:1" x14ac:dyDescent="0.25">
      <c r="A1220" s="40"/>
    </row>
    <row r="1221" spans="1:1" x14ac:dyDescent="0.25">
      <c r="A1221" s="40"/>
    </row>
    <row r="1222" spans="1:1" x14ac:dyDescent="0.25">
      <c r="A1222" s="40"/>
    </row>
    <row r="1223" spans="1:1" x14ac:dyDescent="0.25">
      <c r="A1223" s="40"/>
    </row>
    <row r="1224" spans="1:1" x14ac:dyDescent="0.25">
      <c r="A1224" s="40"/>
    </row>
    <row r="1225" spans="1:1" x14ac:dyDescent="0.25">
      <c r="A1225" s="40"/>
    </row>
    <row r="1226" spans="1:1" x14ac:dyDescent="0.25">
      <c r="A1226" s="40"/>
    </row>
    <row r="1227" spans="1:1" x14ac:dyDescent="0.25">
      <c r="A1227" s="40"/>
    </row>
    <row r="1228" spans="1:1" x14ac:dyDescent="0.25">
      <c r="A1228" s="40"/>
    </row>
    <row r="1229" spans="1:1" x14ac:dyDescent="0.25">
      <c r="A1229" s="40"/>
    </row>
    <row r="1230" spans="1:1" x14ac:dyDescent="0.25">
      <c r="A1230" s="40"/>
    </row>
    <row r="1231" spans="1:1" x14ac:dyDescent="0.25">
      <c r="A1231" s="40"/>
    </row>
    <row r="1232" spans="1:1" x14ac:dyDescent="0.25">
      <c r="A1232" s="40"/>
    </row>
    <row r="1233" spans="1:1" x14ac:dyDescent="0.25">
      <c r="A1233" s="40"/>
    </row>
    <row r="1234" spans="1:1" x14ac:dyDescent="0.25">
      <c r="A1234" s="40"/>
    </row>
    <row r="1235" spans="1:1" x14ac:dyDescent="0.25">
      <c r="A1235" s="40"/>
    </row>
    <row r="1236" spans="1:1" x14ac:dyDescent="0.25">
      <c r="A1236" s="40"/>
    </row>
    <row r="1237" spans="1:1" x14ac:dyDescent="0.25">
      <c r="A1237" s="40"/>
    </row>
    <row r="1238" spans="1:1" x14ac:dyDescent="0.25">
      <c r="A1238" s="40"/>
    </row>
    <row r="1239" spans="1:1" x14ac:dyDescent="0.25">
      <c r="A1239" s="40"/>
    </row>
    <row r="1240" spans="1:1" x14ac:dyDescent="0.25">
      <c r="A1240" s="40"/>
    </row>
    <row r="1241" spans="1:1" x14ac:dyDescent="0.25">
      <c r="A1241" s="40"/>
    </row>
    <row r="1242" spans="1:1" x14ac:dyDescent="0.25">
      <c r="A1242" s="40"/>
    </row>
    <row r="1243" spans="1:1" x14ac:dyDescent="0.25">
      <c r="A1243" s="40"/>
    </row>
    <row r="1244" spans="1:1" x14ac:dyDescent="0.25">
      <c r="A1244" s="40"/>
    </row>
    <row r="1245" spans="1:1" x14ac:dyDescent="0.25">
      <c r="A1245" s="40"/>
    </row>
    <row r="1246" spans="1:1" x14ac:dyDescent="0.25">
      <c r="A1246" s="40"/>
    </row>
    <row r="1247" spans="1:1" x14ac:dyDescent="0.25">
      <c r="A1247" s="40"/>
    </row>
    <row r="1248" spans="1:1" x14ac:dyDescent="0.25">
      <c r="A1248" s="40"/>
    </row>
    <row r="1249" spans="1:1" x14ac:dyDescent="0.25">
      <c r="A1249" s="40"/>
    </row>
    <row r="1250" spans="1:1" x14ac:dyDescent="0.25">
      <c r="A1250" s="40"/>
    </row>
    <row r="1251" spans="1:1" x14ac:dyDescent="0.25">
      <c r="A1251" s="40"/>
    </row>
    <row r="1252" spans="1:1" x14ac:dyDescent="0.25">
      <c r="A1252" s="40"/>
    </row>
    <row r="1253" spans="1:1" x14ac:dyDescent="0.25">
      <c r="A1253" s="40"/>
    </row>
    <row r="1254" spans="1:1" x14ac:dyDescent="0.25">
      <c r="A1254" s="40"/>
    </row>
    <row r="1255" spans="1:1" x14ac:dyDescent="0.25">
      <c r="A1255" s="40"/>
    </row>
    <row r="1256" spans="1:1" x14ac:dyDescent="0.25">
      <c r="A1256" s="40"/>
    </row>
    <row r="1257" spans="1:1" x14ac:dyDescent="0.25">
      <c r="A1257" s="40"/>
    </row>
    <row r="1258" spans="1:1" x14ac:dyDescent="0.25">
      <c r="A1258" s="40"/>
    </row>
    <row r="1259" spans="1:1" x14ac:dyDescent="0.25">
      <c r="A1259" s="40"/>
    </row>
    <row r="1260" spans="1:1" x14ac:dyDescent="0.25">
      <c r="A1260" s="40"/>
    </row>
    <row r="1261" spans="1:1" x14ac:dyDescent="0.25">
      <c r="A1261" s="40"/>
    </row>
    <row r="1262" spans="1:1" x14ac:dyDescent="0.25">
      <c r="A1262" s="40"/>
    </row>
    <row r="1263" spans="1:1" x14ac:dyDescent="0.25">
      <c r="A1263" s="40"/>
    </row>
    <row r="1264" spans="1:1" x14ac:dyDescent="0.25">
      <c r="A1264" s="40"/>
    </row>
    <row r="1265" spans="1:1" x14ac:dyDescent="0.25">
      <c r="A1265" s="40"/>
    </row>
    <row r="1266" spans="1:1" x14ac:dyDescent="0.25">
      <c r="A1266" s="40"/>
    </row>
    <row r="1267" spans="1:1" x14ac:dyDescent="0.25">
      <c r="A1267" s="40"/>
    </row>
    <row r="1268" spans="1:1" x14ac:dyDescent="0.25">
      <c r="A1268" s="40"/>
    </row>
    <row r="1269" spans="1:1" x14ac:dyDescent="0.25">
      <c r="A1269" s="40"/>
    </row>
    <row r="1270" spans="1:1" x14ac:dyDescent="0.25">
      <c r="A1270" s="40"/>
    </row>
    <row r="1271" spans="1:1" x14ac:dyDescent="0.25">
      <c r="A1271" s="40"/>
    </row>
    <row r="1272" spans="1:1" x14ac:dyDescent="0.25">
      <c r="A1272" s="40"/>
    </row>
    <row r="1273" spans="1:1" x14ac:dyDescent="0.25">
      <c r="A1273" s="40"/>
    </row>
    <row r="1274" spans="1:1" x14ac:dyDescent="0.25">
      <c r="A1274" s="40"/>
    </row>
    <row r="1275" spans="1:1" x14ac:dyDescent="0.25">
      <c r="A1275" s="40"/>
    </row>
    <row r="1276" spans="1:1" x14ac:dyDescent="0.25">
      <c r="A1276" s="40"/>
    </row>
    <row r="1277" spans="1:1" x14ac:dyDescent="0.25">
      <c r="A1277" s="40"/>
    </row>
    <row r="1278" spans="1:1" x14ac:dyDescent="0.25">
      <c r="A1278" s="40"/>
    </row>
    <row r="1279" spans="1:1" x14ac:dyDescent="0.25">
      <c r="A1279" s="40"/>
    </row>
    <row r="1280" spans="1:1" x14ac:dyDescent="0.25">
      <c r="A1280" s="40"/>
    </row>
    <row r="1281" spans="1:1" x14ac:dyDescent="0.25">
      <c r="A1281" s="40"/>
    </row>
    <row r="1282" spans="1:1" x14ac:dyDescent="0.25">
      <c r="A1282" s="40"/>
    </row>
    <row r="1283" spans="1:1" x14ac:dyDescent="0.25">
      <c r="A1283" s="40"/>
    </row>
    <row r="1284" spans="1:1" x14ac:dyDescent="0.25">
      <c r="A1284" s="40"/>
    </row>
    <row r="1285" spans="1:1" x14ac:dyDescent="0.25">
      <c r="A1285" s="40"/>
    </row>
    <row r="1286" spans="1:1" x14ac:dyDescent="0.25">
      <c r="A1286" s="40"/>
    </row>
    <row r="1287" spans="1:1" x14ac:dyDescent="0.25">
      <c r="A1287" s="40"/>
    </row>
    <row r="1288" spans="1:1" x14ac:dyDescent="0.25">
      <c r="A1288" s="40"/>
    </row>
    <row r="1289" spans="1:1" x14ac:dyDescent="0.25">
      <c r="A1289" s="40"/>
    </row>
    <row r="1290" spans="1:1" x14ac:dyDescent="0.25">
      <c r="A1290" s="40"/>
    </row>
    <row r="1291" spans="1:1" x14ac:dyDescent="0.25">
      <c r="A1291" s="40"/>
    </row>
    <row r="1292" spans="1:1" x14ac:dyDescent="0.25">
      <c r="A1292" s="40"/>
    </row>
    <row r="1293" spans="1:1" x14ac:dyDescent="0.25">
      <c r="A1293" s="40"/>
    </row>
    <row r="1294" spans="1:1" x14ac:dyDescent="0.25">
      <c r="A1294" s="40"/>
    </row>
    <row r="1295" spans="1:1" x14ac:dyDescent="0.25">
      <c r="A1295" s="40"/>
    </row>
    <row r="1296" spans="1:1" x14ac:dyDescent="0.25">
      <c r="A1296" s="40"/>
    </row>
    <row r="1297" spans="1:1" x14ac:dyDescent="0.25">
      <c r="A1297" s="40"/>
    </row>
    <row r="1298" spans="1:1" x14ac:dyDescent="0.25">
      <c r="A1298" s="40"/>
    </row>
    <row r="1299" spans="1:1" x14ac:dyDescent="0.25">
      <c r="A1299" s="40"/>
    </row>
    <row r="1300" spans="1:1" x14ac:dyDescent="0.25">
      <c r="A1300" s="40"/>
    </row>
    <row r="1301" spans="1:1" x14ac:dyDescent="0.25">
      <c r="A1301" s="40"/>
    </row>
    <row r="1302" spans="1:1" x14ac:dyDescent="0.25">
      <c r="A1302" s="40"/>
    </row>
    <row r="1303" spans="1:1" x14ac:dyDescent="0.25">
      <c r="A1303" s="40"/>
    </row>
    <row r="1304" spans="1:1" x14ac:dyDescent="0.25">
      <c r="A1304" s="40"/>
    </row>
    <row r="1305" spans="1:1" x14ac:dyDescent="0.25">
      <c r="A1305" s="40"/>
    </row>
    <row r="1306" spans="1:1" x14ac:dyDescent="0.25">
      <c r="A1306" s="40"/>
    </row>
    <row r="1307" spans="1:1" x14ac:dyDescent="0.25">
      <c r="A1307" s="40"/>
    </row>
    <row r="1308" spans="1:1" x14ac:dyDescent="0.25">
      <c r="A1308" s="40"/>
    </row>
    <row r="1309" spans="1:1" x14ac:dyDescent="0.25">
      <c r="A1309" s="40"/>
    </row>
    <row r="1310" spans="1:1" x14ac:dyDescent="0.25">
      <c r="A1310" s="40"/>
    </row>
    <row r="1311" spans="1:1" x14ac:dyDescent="0.25">
      <c r="A1311" s="40"/>
    </row>
    <row r="1312" spans="1:1" x14ac:dyDescent="0.25">
      <c r="A1312" s="40"/>
    </row>
    <row r="1313" spans="1:1" x14ac:dyDescent="0.25">
      <c r="A1313" s="40"/>
    </row>
    <row r="1314" spans="1:1" x14ac:dyDescent="0.25">
      <c r="A1314" s="40"/>
    </row>
    <row r="1315" spans="1:1" x14ac:dyDescent="0.25">
      <c r="A1315" s="40"/>
    </row>
    <row r="1316" spans="1:1" x14ac:dyDescent="0.25">
      <c r="A1316" s="40"/>
    </row>
    <row r="1317" spans="1:1" x14ac:dyDescent="0.25">
      <c r="A1317" s="40"/>
    </row>
    <row r="1318" spans="1:1" x14ac:dyDescent="0.25">
      <c r="A1318" s="40"/>
    </row>
    <row r="1319" spans="1:1" x14ac:dyDescent="0.25">
      <c r="A1319" s="40"/>
    </row>
    <row r="1320" spans="1:1" x14ac:dyDescent="0.25">
      <c r="A1320" s="40"/>
    </row>
    <row r="1321" spans="1:1" x14ac:dyDescent="0.25">
      <c r="A1321" s="40"/>
    </row>
    <row r="1322" spans="1:1" x14ac:dyDescent="0.25">
      <c r="A1322" s="40"/>
    </row>
    <row r="1323" spans="1:1" x14ac:dyDescent="0.25">
      <c r="A1323" s="40"/>
    </row>
    <row r="1324" spans="1:1" x14ac:dyDescent="0.25">
      <c r="A1324" s="40"/>
    </row>
    <row r="1325" spans="1:1" x14ac:dyDescent="0.25">
      <c r="A1325" s="40"/>
    </row>
    <row r="1326" spans="1:1" x14ac:dyDescent="0.25">
      <c r="A1326" s="40"/>
    </row>
    <row r="1327" spans="1:1" x14ac:dyDescent="0.25">
      <c r="A1327" s="40"/>
    </row>
    <row r="1328" spans="1:1" x14ac:dyDescent="0.25">
      <c r="A1328" s="40"/>
    </row>
    <row r="1329" spans="1:1" x14ac:dyDescent="0.25">
      <c r="A1329" s="40"/>
    </row>
    <row r="1330" spans="1:1" x14ac:dyDescent="0.25">
      <c r="A1330" s="40"/>
    </row>
    <row r="1331" spans="1:1" x14ac:dyDescent="0.25">
      <c r="A1331" s="40"/>
    </row>
    <row r="1332" spans="1:1" x14ac:dyDescent="0.25">
      <c r="A1332" s="40"/>
    </row>
    <row r="1333" spans="1:1" x14ac:dyDescent="0.25">
      <c r="A1333" s="40"/>
    </row>
    <row r="1334" spans="1:1" x14ac:dyDescent="0.25">
      <c r="A1334" s="40"/>
    </row>
    <row r="1335" spans="1:1" x14ac:dyDescent="0.25">
      <c r="A1335" s="40"/>
    </row>
    <row r="1336" spans="1:1" x14ac:dyDescent="0.25">
      <c r="A1336" s="40"/>
    </row>
    <row r="1337" spans="1:1" x14ac:dyDescent="0.25">
      <c r="A1337" s="40"/>
    </row>
    <row r="1338" spans="1:1" x14ac:dyDescent="0.25">
      <c r="A1338" s="40"/>
    </row>
    <row r="1339" spans="1:1" x14ac:dyDescent="0.25">
      <c r="A1339" s="40"/>
    </row>
    <row r="1340" spans="1:1" x14ac:dyDescent="0.25">
      <c r="A1340" s="40"/>
    </row>
    <row r="1341" spans="1:1" x14ac:dyDescent="0.25">
      <c r="A1341" s="40"/>
    </row>
    <row r="1342" spans="1:1" x14ac:dyDescent="0.25">
      <c r="A1342" s="40"/>
    </row>
    <row r="1343" spans="1:1" x14ac:dyDescent="0.25">
      <c r="A1343" s="40"/>
    </row>
    <row r="1344" spans="1:1" x14ac:dyDescent="0.25">
      <c r="A1344" s="40"/>
    </row>
    <row r="1345" spans="1:1" x14ac:dyDescent="0.25">
      <c r="A1345" s="40"/>
    </row>
    <row r="1346" spans="1:1" x14ac:dyDescent="0.25">
      <c r="A1346" s="40"/>
    </row>
    <row r="1347" spans="1:1" x14ac:dyDescent="0.25">
      <c r="A1347" s="40"/>
    </row>
    <row r="1348" spans="1:1" x14ac:dyDescent="0.25">
      <c r="A1348" s="40"/>
    </row>
    <row r="1349" spans="1:1" x14ac:dyDescent="0.25">
      <c r="A1349" s="40"/>
    </row>
    <row r="1350" spans="1:1" x14ac:dyDescent="0.25">
      <c r="A1350" s="40"/>
    </row>
    <row r="1351" spans="1:1" x14ac:dyDescent="0.25">
      <c r="A1351" s="40"/>
    </row>
    <row r="1352" spans="1:1" x14ac:dyDescent="0.25">
      <c r="A1352" s="40"/>
    </row>
    <row r="1353" spans="1:1" x14ac:dyDescent="0.25">
      <c r="A1353" s="40"/>
    </row>
    <row r="1354" spans="1:1" x14ac:dyDescent="0.25">
      <c r="A1354" s="40"/>
    </row>
    <row r="1355" spans="1:1" x14ac:dyDescent="0.25">
      <c r="A1355" s="40"/>
    </row>
    <row r="1356" spans="1:1" x14ac:dyDescent="0.25">
      <c r="A1356" s="40"/>
    </row>
    <row r="1357" spans="1:1" x14ac:dyDescent="0.25">
      <c r="A1357" s="40"/>
    </row>
    <row r="1358" spans="1:1" x14ac:dyDescent="0.25">
      <c r="A1358" s="40"/>
    </row>
    <row r="1359" spans="1:1" x14ac:dyDescent="0.25">
      <c r="A1359" s="40"/>
    </row>
    <row r="1360" spans="1:1" x14ac:dyDescent="0.25">
      <c r="A1360" s="40"/>
    </row>
    <row r="1361" spans="1:1" x14ac:dyDescent="0.25">
      <c r="A1361" s="40"/>
    </row>
    <row r="1362" spans="1:1" x14ac:dyDescent="0.25">
      <c r="A1362" s="40"/>
    </row>
    <row r="1363" spans="1:1" x14ac:dyDescent="0.25">
      <c r="A1363" s="40"/>
    </row>
    <row r="1364" spans="1:1" x14ac:dyDescent="0.25">
      <c r="A1364" s="40"/>
    </row>
    <row r="1365" spans="1:1" x14ac:dyDescent="0.25">
      <c r="A1365" s="40"/>
    </row>
    <row r="1366" spans="1:1" x14ac:dyDescent="0.25">
      <c r="A1366" s="40"/>
    </row>
    <row r="1367" spans="1:1" x14ac:dyDescent="0.25">
      <c r="A1367" s="40"/>
    </row>
    <row r="1368" spans="1:1" x14ac:dyDescent="0.25">
      <c r="A1368" s="40"/>
    </row>
    <row r="1369" spans="1:1" x14ac:dyDescent="0.25">
      <c r="A1369" s="40"/>
    </row>
    <row r="1370" spans="1:1" x14ac:dyDescent="0.25">
      <c r="A1370" s="40"/>
    </row>
    <row r="1371" spans="1:1" x14ac:dyDescent="0.25">
      <c r="A1371" s="40"/>
    </row>
    <row r="1372" spans="1:1" x14ac:dyDescent="0.25">
      <c r="A1372" s="40"/>
    </row>
    <row r="1373" spans="1:1" x14ac:dyDescent="0.25">
      <c r="A1373" s="40"/>
    </row>
    <row r="1374" spans="1:1" x14ac:dyDescent="0.25">
      <c r="A1374" s="40"/>
    </row>
    <row r="1375" spans="1:1" x14ac:dyDescent="0.25">
      <c r="A1375" s="40"/>
    </row>
    <row r="1376" spans="1:1" x14ac:dyDescent="0.25">
      <c r="A1376" s="40"/>
    </row>
    <row r="1377" spans="1:1" x14ac:dyDescent="0.25">
      <c r="A1377" s="40"/>
    </row>
    <row r="1378" spans="1:1" x14ac:dyDescent="0.25">
      <c r="A1378" s="40"/>
    </row>
    <row r="1379" spans="1:1" x14ac:dyDescent="0.25">
      <c r="A1379" s="40"/>
    </row>
    <row r="1380" spans="1:1" x14ac:dyDescent="0.25">
      <c r="A1380" s="40"/>
    </row>
    <row r="1381" spans="1:1" x14ac:dyDescent="0.25">
      <c r="A1381" s="40"/>
    </row>
    <row r="1382" spans="1:1" x14ac:dyDescent="0.25">
      <c r="A1382" s="40"/>
    </row>
    <row r="1383" spans="1:1" x14ac:dyDescent="0.25">
      <c r="A1383" s="40"/>
    </row>
    <row r="1384" spans="1:1" x14ac:dyDescent="0.25">
      <c r="A1384" s="40"/>
    </row>
    <row r="1385" spans="1:1" x14ac:dyDescent="0.25">
      <c r="A1385" s="40"/>
    </row>
    <row r="1386" spans="1:1" x14ac:dyDescent="0.25">
      <c r="A1386" s="40"/>
    </row>
    <row r="1387" spans="1:1" x14ac:dyDescent="0.25">
      <c r="A1387" s="40"/>
    </row>
    <row r="1388" spans="1:1" x14ac:dyDescent="0.25">
      <c r="A1388" s="40"/>
    </row>
    <row r="1389" spans="1:1" x14ac:dyDescent="0.25">
      <c r="A1389" s="40"/>
    </row>
    <row r="1390" spans="1:1" x14ac:dyDescent="0.25">
      <c r="A1390" s="40"/>
    </row>
    <row r="1391" spans="1:1" x14ac:dyDescent="0.25">
      <c r="A1391" s="40"/>
    </row>
    <row r="1392" spans="1:1" x14ac:dyDescent="0.25">
      <c r="A1392" s="40"/>
    </row>
    <row r="1393" spans="1:1" x14ac:dyDescent="0.25">
      <c r="A1393" s="40"/>
    </row>
    <row r="1394" spans="1:1" x14ac:dyDescent="0.25">
      <c r="A1394" s="40"/>
    </row>
    <row r="1395" spans="1:1" x14ac:dyDescent="0.25">
      <c r="A1395" s="40"/>
    </row>
    <row r="1396" spans="1:1" x14ac:dyDescent="0.25">
      <c r="A1396" s="40"/>
    </row>
    <row r="1397" spans="1:1" x14ac:dyDescent="0.25">
      <c r="A1397" s="40"/>
    </row>
    <row r="1398" spans="1:1" x14ac:dyDescent="0.25">
      <c r="A1398" s="40"/>
    </row>
    <row r="1399" spans="1:1" x14ac:dyDescent="0.25">
      <c r="A1399" s="40"/>
    </row>
    <row r="1400" spans="1:1" x14ac:dyDescent="0.25">
      <c r="A1400" s="40"/>
    </row>
    <row r="1401" spans="1:1" x14ac:dyDescent="0.25">
      <c r="A1401" s="40"/>
    </row>
    <row r="1402" spans="1:1" x14ac:dyDescent="0.25">
      <c r="A1402" s="40"/>
    </row>
    <row r="1403" spans="1:1" x14ac:dyDescent="0.25">
      <c r="A1403" s="40"/>
    </row>
    <row r="1404" spans="1:1" x14ac:dyDescent="0.25">
      <c r="A1404" s="40"/>
    </row>
    <row r="1405" spans="1:1" x14ac:dyDescent="0.25">
      <c r="A1405" s="40"/>
    </row>
    <row r="1406" spans="1:1" x14ac:dyDescent="0.25">
      <c r="A1406" s="40"/>
    </row>
    <row r="1407" spans="1:1" x14ac:dyDescent="0.25">
      <c r="A1407" s="40"/>
    </row>
    <row r="1408" spans="1:1" x14ac:dyDescent="0.25">
      <c r="A1408" s="40"/>
    </row>
    <row r="1409" spans="1:1" x14ac:dyDescent="0.25">
      <c r="A1409" s="40"/>
    </row>
    <row r="1410" spans="1:1" x14ac:dyDescent="0.25">
      <c r="A1410" s="40"/>
    </row>
    <row r="1411" spans="1:1" x14ac:dyDescent="0.25">
      <c r="A1411" s="40"/>
    </row>
    <row r="1412" spans="1:1" x14ac:dyDescent="0.25">
      <c r="A1412" s="40"/>
    </row>
    <row r="1413" spans="1:1" x14ac:dyDescent="0.25">
      <c r="A1413" s="40"/>
    </row>
    <row r="1414" spans="1:1" x14ac:dyDescent="0.25">
      <c r="A1414" s="40"/>
    </row>
    <row r="1415" spans="1:1" x14ac:dyDescent="0.25">
      <c r="A1415" s="40"/>
    </row>
    <row r="1416" spans="1:1" x14ac:dyDescent="0.25">
      <c r="A1416" s="40"/>
    </row>
    <row r="1417" spans="1:1" x14ac:dyDescent="0.25">
      <c r="A1417" s="40"/>
    </row>
    <row r="1418" spans="1:1" x14ac:dyDescent="0.25">
      <c r="A1418" s="40"/>
    </row>
    <row r="1419" spans="1:1" x14ac:dyDescent="0.25">
      <c r="A1419" s="40"/>
    </row>
    <row r="1420" spans="1:1" x14ac:dyDescent="0.25">
      <c r="A1420" s="40"/>
    </row>
    <row r="1421" spans="1:1" x14ac:dyDescent="0.25">
      <c r="A1421" s="40"/>
    </row>
    <row r="1422" spans="1:1" x14ac:dyDescent="0.25">
      <c r="A1422" s="40"/>
    </row>
    <row r="1423" spans="1:1" x14ac:dyDescent="0.25">
      <c r="A1423" s="40"/>
    </row>
    <row r="1424" spans="1:1" x14ac:dyDescent="0.25">
      <c r="A1424" s="40"/>
    </row>
    <row r="1425" spans="1:1" x14ac:dyDescent="0.25">
      <c r="A1425" s="40"/>
    </row>
    <row r="1426" spans="1:1" x14ac:dyDescent="0.25">
      <c r="A1426" s="40"/>
    </row>
    <row r="1427" spans="1:1" x14ac:dyDescent="0.25">
      <c r="A1427" s="40"/>
    </row>
    <row r="1428" spans="1:1" x14ac:dyDescent="0.25">
      <c r="A1428" s="40"/>
    </row>
    <row r="1429" spans="1:1" x14ac:dyDescent="0.25">
      <c r="A1429" s="40"/>
    </row>
    <row r="1430" spans="1:1" x14ac:dyDescent="0.25">
      <c r="A1430" s="40"/>
    </row>
    <row r="1431" spans="1:1" x14ac:dyDescent="0.25">
      <c r="A1431" s="40"/>
    </row>
    <row r="1432" spans="1:1" x14ac:dyDescent="0.25">
      <c r="A1432" s="40"/>
    </row>
    <row r="1433" spans="1:1" x14ac:dyDescent="0.25">
      <c r="A1433" s="40"/>
    </row>
    <row r="1434" spans="1:1" x14ac:dyDescent="0.25">
      <c r="A1434" s="40"/>
    </row>
    <row r="1435" spans="1:1" x14ac:dyDescent="0.25">
      <c r="A1435" s="40"/>
    </row>
    <row r="1436" spans="1:1" x14ac:dyDescent="0.25">
      <c r="A1436" s="40"/>
    </row>
    <row r="1437" spans="1:1" x14ac:dyDescent="0.25">
      <c r="A1437" s="40"/>
    </row>
    <row r="1438" spans="1:1" x14ac:dyDescent="0.25">
      <c r="A1438" s="40"/>
    </row>
    <row r="1439" spans="1:1" x14ac:dyDescent="0.25">
      <c r="A1439" s="40"/>
    </row>
    <row r="1440" spans="1:1" x14ac:dyDescent="0.25">
      <c r="A1440" s="40"/>
    </row>
    <row r="1441" spans="1:1" x14ac:dyDescent="0.25">
      <c r="A1441" s="40"/>
    </row>
    <row r="1442" spans="1:1" x14ac:dyDescent="0.25">
      <c r="A1442" s="40"/>
    </row>
    <row r="1443" spans="1:1" x14ac:dyDescent="0.25">
      <c r="A1443" s="40"/>
    </row>
    <row r="1444" spans="1:1" x14ac:dyDescent="0.25">
      <c r="A1444" s="40"/>
    </row>
    <row r="1445" spans="1:1" x14ac:dyDescent="0.25">
      <c r="A1445" s="40"/>
    </row>
    <row r="1446" spans="1:1" x14ac:dyDescent="0.25">
      <c r="A1446" s="40"/>
    </row>
    <row r="1447" spans="1:1" x14ac:dyDescent="0.25">
      <c r="A1447" s="40"/>
    </row>
    <row r="1448" spans="1:1" x14ac:dyDescent="0.25">
      <c r="A1448" s="40"/>
    </row>
    <row r="1449" spans="1:1" x14ac:dyDescent="0.25">
      <c r="A1449" s="40"/>
    </row>
    <row r="1450" spans="1:1" x14ac:dyDescent="0.25">
      <c r="A1450" s="40"/>
    </row>
    <row r="1451" spans="1:1" x14ac:dyDescent="0.25">
      <c r="A1451" s="40"/>
    </row>
    <row r="1452" spans="1:1" x14ac:dyDescent="0.25">
      <c r="A1452" s="40"/>
    </row>
    <row r="1453" spans="1:1" x14ac:dyDescent="0.25">
      <c r="A1453" s="40"/>
    </row>
    <row r="1454" spans="1:1" x14ac:dyDescent="0.25">
      <c r="A1454" s="40"/>
    </row>
    <row r="1455" spans="1:1" x14ac:dyDescent="0.25">
      <c r="A1455" s="40"/>
    </row>
    <row r="1456" spans="1:1" x14ac:dyDescent="0.25">
      <c r="A1456" s="40"/>
    </row>
    <row r="1457" spans="1:1" x14ac:dyDescent="0.25">
      <c r="A1457" s="40"/>
    </row>
    <row r="1458" spans="1:1" x14ac:dyDescent="0.25">
      <c r="A1458" s="40"/>
    </row>
    <row r="1459" spans="1:1" x14ac:dyDescent="0.25">
      <c r="A1459" s="40"/>
    </row>
    <row r="1460" spans="1:1" x14ac:dyDescent="0.25">
      <c r="A1460" s="40"/>
    </row>
    <row r="1461" spans="1:1" x14ac:dyDescent="0.25">
      <c r="A1461" s="40"/>
    </row>
    <row r="1462" spans="1:1" x14ac:dyDescent="0.25">
      <c r="A1462" s="40"/>
    </row>
    <row r="1463" spans="1:1" x14ac:dyDescent="0.25">
      <c r="A1463" s="40"/>
    </row>
    <row r="1464" spans="1:1" x14ac:dyDescent="0.25">
      <c r="A1464" s="40"/>
    </row>
    <row r="1465" spans="1:1" x14ac:dyDescent="0.25">
      <c r="A1465" s="40"/>
    </row>
    <row r="1466" spans="1:1" x14ac:dyDescent="0.25">
      <c r="A1466" s="40"/>
    </row>
    <row r="1467" spans="1:1" x14ac:dyDescent="0.25">
      <c r="A1467" s="40"/>
    </row>
    <row r="1468" spans="1:1" x14ac:dyDescent="0.25">
      <c r="A1468" s="40"/>
    </row>
    <row r="1469" spans="1:1" x14ac:dyDescent="0.25">
      <c r="A1469" s="40"/>
    </row>
    <row r="1470" spans="1:1" x14ac:dyDescent="0.25">
      <c r="A1470" s="40"/>
    </row>
    <row r="1471" spans="1:1" x14ac:dyDescent="0.25">
      <c r="A1471" s="40"/>
    </row>
    <row r="1472" spans="1:1" x14ac:dyDescent="0.25">
      <c r="A1472" s="40"/>
    </row>
    <row r="1473" spans="1:1" x14ac:dyDescent="0.25">
      <c r="A1473" s="40"/>
    </row>
    <row r="1474" spans="1:1" x14ac:dyDescent="0.25">
      <c r="A1474" s="40"/>
    </row>
    <row r="1475" spans="1:1" x14ac:dyDescent="0.25">
      <c r="A1475" s="40"/>
    </row>
    <row r="1476" spans="1:1" x14ac:dyDescent="0.25">
      <c r="A1476" s="40"/>
    </row>
    <row r="1477" spans="1:1" x14ac:dyDescent="0.25">
      <c r="A1477" s="40"/>
    </row>
    <row r="1478" spans="1:1" x14ac:dyDescent="0.25">
      <c r="A1478" s="40"/>
    </row>
    <row r="1479" spans="1:1" x14ac:dyDescent="0.25">
      <c r="A1479" s="40"/>
    </row>
    <row r="1480" spans="1:1" x14ac:dyDescent="0.25">
      <c r="A1480" s="40"/>
    </row>
    <row r="1481" spans="1:1" x14ac:dyDescent="0.25">
      <c r="A1481" s="40"/>
    </row>
    <row r="1482" spans="1:1" x14ac:dyDescent="0.25">
      <c r="A1482" s="40"/>
    </row>
    <row r="1483" spans="1:1" x14ac:dyDescent="0.25">
      <c r="A1483" s="40"/>
    </row>
    <row r="1484" spans="1:1" x14ac:dyDescent="0.25">
      <c r="A1484" s="40"/>
    </row>
    <row r="1485" spans="1:1" x14ac:dyDescent="0.25">
      <c r="A1485" s="40"/>
    </row>
    <row r="1486" spans="1:1" x14ac:dyDescent="0.25">
      <c r="A1486" s="40"/>
    </row>
    <row r="1487" spans="1:1" x14ac:dyDescent="0.25">
      <c r="A1487" s="40"/>
    </row>
    <row r="1488" spans="1:1" x14ac:dyDescent="0.25">
      <c r="A1488" s="40"/>
    </row>
    <row r="1489" spans="1:1" x14ac:dyDescent="0.25">
      <c r="A1489" s="40"/>
    </row>
    <row r="1490" spans="1:1" x14ac:dyDescent="0.25">
      <c r="A1490" s="40"/>
    </row>
    <row r="1491" spans="1:1" x14ac:dyDescent="0.25">
      <c r="A1491" s="40"/>
    </row>
    <row r="1492" spans="1:1" x14ac:dyDescent="0.25">
      <c r="A1492" s="40"/>
    </row>
    <row r="1493" spans="1:1" x14ac:dyDescent="0.25">
      <c r="A1493" s="40"/>
    </row>
    <row r="1494" spans="1:1" x14ac:dyDescent="0.25">
      <c r="A1494" s="40"/>
    </row>
    <row r="1495" spans="1:1" x14ac:dyDescent="0.25">
      <c r="A1495" s="40"/>
    </row>
    <row r="1496" spans="1:1" x14ac:dyDescent="0.25">
      <c r="A1496" s="40"/>
    </row>
    <row r="1497" spans="1:1" x14ac:dyDescent="0.25">
      <c r="A1497" s="40"/>
    </row>
    <row r="1498" spans="1:1" x14ac:dyDescent="0.25">
      <c r="A1498" s="40"/>
    </row>
    <row r="1499" spans="1:1" x14ac:dyDescent="0.25">
      <c r="A1499" s="40"/>
    </row>
    <row r="1500" spans="1:1" x14ac:dyDescent="0.25">
      <c r="A1500" s="40"/>
    </row>
    <row r="1501" spans="1:1" x14ac:dyDescent="0.25">
      <c r="A1501" s="40"/>
    </row>
    <row r="1502" spans="1:1" x14ac:dyDescent="0.25">
      <c r="A1502" s="40"/>
    </row>
    <row r="1503" spans="1:1" x14ac:dyDescent="0.25">
      <c r="A1503" s="40"/>
    </row>
    <row r="1504" spans="1:1" x14ac:dyDescent="0.25">
      <c r="A1504" s="40"/>
    </row>
    <row r="1505" spans="1:1" x14ac:dyDescent="0.25">
      <c r="A1505" s="40"/>
    </row>
    <row r="1506" spans="1:1" x14ac:dyDescent="0.25">
      <c r="A1506" s="40"/>
    </row>
    <row r="1507" spans="1:1" x14ac:dyDescent="0.25">
      <c r="A1507" s="40"/>
    </row>
    <row r="1508" spans="1:1" x14ac:dyDescent="0.25">
      <c r="A1508" s="40"/>
    </row>
    <row r="1509" spans="1:1" x14ac:dyDescent="0.25">
      <c r="A1509" s="40"/>
    </row>
    <row r="1510" spans="1:1" x14ac:dyDescent="0.25">
      <c r="A1510" s="40"/>
    </row>
    <row r="1511" spans="1:1" x14ac:dyDescent="0.25">
      <c r="A1511" s="40"/>
    </row>
    <row r="1512" spans="1:1" x14ac:dyDescent="0.25">
      <c r="A1512" s="40"/>
    </row>
    <row r="1513" spans="1:1" x14ac:dyDescent="0.25">
      <c r="A1513" s="40"/>
    </row>
    <row r="1514" spans="1:1" x14ac:dyDescent="0.25">
      <c r="A1514" s="40"/>
    </row>
    <row r="1515" spans="1:1" x14ac:dyDescent="0.25">
      <c r="A1515" s="40"/>
    </row>
    <row r="1516" spans="1:1" x14ac:dyDescent="0.25">
      <c r="A1516" s="40"/>
    </row>
    <row r="1517" spans="1:1" x14ac:dyDescent="0.25">
      <c r="A1517" s="40"/>
    </row>
    <row r="1518" spans="1:1" x14ac:dyDescent="0.25">
      <c r="A1518" s="40"/>
    </row>
    <row r="1519" spans="1:1" x14ac:dyDescent="0.25">
      <c r="A1519" s="40"/>
    </row>
    <row r="1520" spans="1:1" x14ac:dyDescent="0.25">
      <c r="A1520" s="40"/>
    </row>
    <row r="1521" spans="1:1" x14ac:dyDescent="0.25">
      <c r="A1521" s="40"/>
    </row>
    <row r="1522" spans="1:1" x14ac:dyDescent="0.25">
      <c r="A1522" s="40"/>
    </row>
    <row r="1523" spans="1:1" x14ac:dyDescent="0.25">
      <c r="A1523" s="40"/>
    </row>
    <row r="1524" spans="1:1" x14ac:dyDescent="0.25">
      <c r="A1524" s="40"/>
    </row>
    <row r="1525" spans="1:1" x14ac:dyDescent="0.25">
      <c r="A1525" s="40"/>
    </row>
    <row r="1526" spans="1:1" x14ac:dyDescent="0.25">
      <c r="A1526" s="40"/>
    </row>
    <row r="1527" spans="1:1" x14ac:dyDescent="0.25">
      <c r="A1527" s="40"/>
    </row>
    <row r="1528" spans="1:1" x14ac:dyDescent="0.25">
      <c r="A1528" s="40"/>
    </row>
    <row r="1529" spans="1:1" x14ac:dyDescent="0.25">
      <c r="A1529" s="40"/>
    </row>
    <row r="1530" spans="1:1" x14ac:dyDescent="0.25">
      <c r="A1530" s="40"/>
    </row>
    <row r="1531" spans="1:1" x14ac:dyDescent="0.25">
      <c r="A1531" s="40"/>
    </row>
    <row r="1532" spans="1:1" x14ac:dyDescent="0.25">
      <c r="A1532" s="40"/>
    </row>
    <row r="1533" spans="1:1" x14ac:dyDescent="0.25">
      <c r="A1533" s="40"/>
    </row>
    <row r="1534" spans="1:1" x14ac:dyDescent="0.25">
      <c r="A1534" s="40"/>
    </row>
    <row r="1535" spans="1:1" x14ac:dyDescent="0.25">
      <c r="A1535" s="40"/>
    </row>
    <row r="1536" spans="1:1" x14ac:dyDescent="0.25">
      <c r="A1536" s="40"/>
    </row>
    <row r="1537" spans="1:1" x14ac:dyDescent="0.25">
      <c r="A1537" s="40"/>
    </row>
    <row r="1538" spans="1:1" x14ac:dyDescent="0.25">
      <c r="A1538" s="40"/>
    </row>
    <row r="1539" spans="1:1" x14ac:dyDescent="0.25">
      <c r="A1539" s="40"/>
    </row>
    <row r="1540" spans="1:1" x14ac:dyDescent="0.25">
      <c r="A1540" s="40"/>
    </row>
    <row r="1541" spans="1:1" x14ac:dyDescent="0.25">
      <c r="A1541" s="40"/>
    </row>
    <row r="1542" spans="1:1" x14ac:dyDescent="0.25">
      <c r="A1542" s="40"/>
    </row>
    <row r="1543" spans="1:1" x14ac:dyDescent="0.25">
      <c r="A1543" s="40"/>
    </row>
    <row r="1544" spans="1:1" x14ac:dyDescent="0.25">
      <c r="A1544" s="40"/>
    </row>
    <row r="1545" spans="1:1" x14ac:dyDescent="0.25">
      <c r="A1545" s="40"/>
    </row>
    <row r="1546" spans="1:1" x14ac:dyDescent="0.25">
      <c r="A1546" s="40"/>
    </row>
    <row r="1547" spans="1:1" x14ac:dyDescent="0.25">
      <c r="A1547" s="40"/>
    </row>
    <row r="1548" spans="1:1" x14ac:dyDescent="0.25">
      <c r="A1548" s="40"/>
    </row>
    <row r="1549" spans="1:1" x14ac:dyDescent="0.25">
      <c r="A1549" s="40"/>
    </row>
    <row r="1550" spans="1:1" x14ac:dyDescent="0.25">
      <c r="A1550" s="40"/>
    </row>
    <row r="1551" spans="1:1" x14ac:dyDescent="0.25">
      <c r="A1551" s="40"/>
    </row>
    <row r="1552" spans="1:1" x14ac:dyDescent="0.25">
      <c r="A1552" s="40"/>
    </row>
    <row r="1553" spans="1:1" x14ac:dyDescent="0.25">
      <c r="A1553" s="40"/>
    </row>
    <row r="1554" spans="1:1" x14ac:dyDescent="0.25">
      <c r="A1554" s="40"/>
    </row>
    <row r="1555" spans="1:1" x14ac:dyDescent="0.25">
      <c r="A1555" s="40"/>
    </row>
    <row r="1556" spans="1:1" x14ac:dyDescent="0.25">
      <c r="A1556" s="40"/>
    </row>
    <row r="1557" spans="1:1" x14ac:dyDescent="0.25">
      <c r="A1557" s="40"/>
    </row>
    <row r="1558" spans="1:1" x14ac:dyDescent="0.25">
      <c r="A1558" s="40"/>
    </row>
    <row r="1559" spans="1:1" x14ac:dyDescent="0.25">
      <c r="A1559" s="40"/>
    </row>
    <row r="1560" spans="1:1" x14ac:dyDescent="0.25">
      <c r="A1560" s="40"/>
    </row>
    <row r="1561" spans="1:1" x14ac:dyDescent="0.25">
      <c r="A1561" s="40"/>
    </row>
    <row r="1562" spans="1:1" x14ac:dyDescent="0.25">
      <c r="A1562" s="40"/>
    </row>
    <row r="1563" spans="1:1" x14ac:dyDescent="0.25">
      <c r="A1563" s="40"/>
    </row>
    <row r="1564" spans="1:1" x14ac:dyDescent="0.25">
      <c r="A1564" s="40"/>
    </row>
    <row r="1565" spans="1:1" x14ac:dyDescent="0.25">
      <c r="A1565" s="40"/>
    </row>
    <row r="1566" spans="1:1" x14ac:dyDescent="0.25">
      <c r="A1566" s="40"/>
    </row>
    <row r="1567" spans="1:1" x14ac:dyDescent="0.25">
      <c r="A1567" s="40"/>
    </row>
    <row r="1568" spans="1:1" x14ac:dyDescent="0.25">
      <c r="A1568" s="40"/>
    </row>
    <row r="1569" spans="1:1" x14ac:dyDescent="0.25">
      <c r="A1569" s="40"/>
    </row>
    <row r="1570" spans="1:1" x14ac:dyDescent="0.25">
      <c r="A1570" s="40"/>
    </row>
    <row r="1571" spans="1:1" x14ac:dyDescent="0.25">
      <c r="A1571" s="40"/>
    </row>
    <row r="1572" spans="1:1" x14ac:dyDescent="0.25">
      <c r="A1572" s="40"/>
    </row>
    <row r="1573" spans="1:1" x14ac:dyDescent="0.25">
      <c r="A1573" s="40"/>
    </row>
    <row r="1574" spans="1:1" x14ac:dyDescent="0.25">
      <c r="A1574" s="40"/>
    </row>
    <row r="1575" spans="1:1" x14ac:dyDescent="0.25">
      <c r="A1575" s="40"/>
    </row>
    <row r="1576" spans="1:1" x14ac:dyDescent="0.25">
      <c r="A1576" s="40"/>
    </row>
    <row r="1577" spans="1:1" x14ac:dyDescent="0.25">
      <c r="A1577" s="40"/>
    </row>
    <row r="1578" spans="1:1" x14ac:dyDescent="0.25">
      <c r="A1578" s="40"/>
    </row>
    <row r="1579" spans="1:1" x14ac:dyDescent="0.25">
      <c r="A1579" s="40"/>
    </row>
    <row r="1580" spans="1:1" x14ac:dyDescent="0.25">
      <c r="A1580" s="40"/>
    </row>
    <row r="1581" spans="1:1" x14ac:dyDescent="0.25">
      <c r="A1581" s="40"/>
    </row>
    <row r="1582" spans="1:1" x14ac:dyDescent="0.25">
      <c r="A1582" s="40"/>
    </row>
    <row r="1583" spans="1:1" x14ac:dyDescent="0.25">
      <c r="A1583" s="40"/>
    </row>
    <row r="1584" spans="1:1" x14ac:dyDescent="0.25">
      <c r="A1584" s="40"/>
    </row>
    <row r="1585" spans="1:1" x14ac:dyDescent="0.25">
      <c r="A1585" s="40"/>
    </row>
    <row r="1586" spans="1:1" x14ac:dyDescent="0.25">
      <c r="A1586" s="40"/>
    </row>
    <row r="1587" spans="1:1" x14ac:dyDescent="0.25">
      <c r="A1587" s="40"/>
    </row>
    <row r="1588" spans="1:1" x14ac:dyDescent="0.25">
      <c r="A1588" s="40"/>
    </row>
    <row r="1589" spans="1:1" x14ac:dyDescent="0.25">
      <c r="A1589" s="40"/>
    </row>
    <row r="1590" spans="1:1" x14ac:dyDescent="0.25">
      <c r="A1590" s="40"/>
    </row>
    <row r="1591" spans="1:1" x14ac:dyDescent="0.25">
      <c r="A1591" s="40"/>
    </row>
    <row r="1592" spans="1:1" x14ac:dyDescent="0.25">
      <c r="A1592" s="40"/>
    </row>
    <row r="1593" spans="1:1" x14ac:dyDescent="0.25">
      <c r="A1593" s="40"/>
    </row>
    <row r="1594" spans="1:1" x14ac:dyDescent="0.25">
      <c r="A1594" s="40"/>
    </row>
    <row r="1595" spans="1:1" x14ac:dyDescent="0.25">
      <c r="A1595" s="40"/>
    </row>
    <row r="1596" spans="1:1" x14ac:dyDescent="0.25">
      <c r="A1596" s="40"/>
    </row>
    <row r="1597" spans="1:1" x14ac:dyDescent="0.25">
      <c r="A1597" s="40"/>
    </row>
    <row r="1598" spans="1:1" x14ac:dyDescent="0.25">
      <c r="A1598" s="40"/>
    </row>
    <row r="1599" spans="1:1" x14ac:dyDescent="0.25">
      <c r="A1599" s="40"/>
    </row>
    <row r="1600" spans="1:1" x14ac:dyDescent="0.25">
      <c r="A1600" s="40"/>
    </row>
    <row r="1601" spans="1:1" x14ac:dyDescent="0.25">
      <c r="A1601" s="40"/>
    </row>
    <row r="1602" spans="1:1" x14ac:dyDescent="0.25">
      <c r="A1602" s="40"/>
    </row>
    <row r="1603" spans="1:1" x14ac:dyDescent="0.25">
      <c r="A1603" s="40"/>
    </row>
    <row r="1604" spans="1:1" x14ac:dyDescent="0.25">
      <c r="A1604" s="40"/>
    </row>
    <row r="1605" spans="1:1" x14ac:dyDescent="0.25">
      <c r="A1605" s="40"/>
    </row>
    <row r="1606" spans="1:1" x14ac:dyDescent="0.25">
      <c r="A1606" s="40"/>
    </row>
    <row r="1607" spans="1:1" x14ac:dyDescent="0.25">
      <c r="A1607" s="40"/>
    </row>
    <row r="1608" spans="1:1" x14ac:dyDescent="0.25">
      <c r="A1608" s="40"/>
    </row>
    <row r="1609" spans="1:1" x14ac:dyDescent="0.25">
      <c r="A1609" s="40"/>
    </row>
    <row r="1610" spans="1:1" x14ac:dyDescent="0.25">
      <c r="A1610" s="40"/>
    </row>
    <row r="1611" spans="1:1" x14ac:dyDescent="0.25">
      <c r="A1611" s="40"/>
    </row>
    <row r="1612" spans="1:1" x14ac:dyDescent="0.25">
      <c r="A1612" s="40"/>
    </row>
    <row r="1613" spans="1:1" x14ac:dyDescent="0.25">
      <c r="A1613" s="40"/>
    </row>
    <row r="1614" spans="1:1" x14ac:dyDescent="0.25">
      <c r="A1614" s="40"/>
    </row>
    <row r="1615" spans="1:1" x14ac:dyDescent="0.25">
      <c r="A1615" s="40"/>
    </row>
    <row r="1616" spans="1:1" x14ac:dyDescent="0.25">
      <c r="A1616" s="40"/>
    </row>
    <row r="1617" spans="1:1" x14ac:dyDescent="0.25">
      <c r="A1617" s="40"/>
    </row>
    <row r="1618" spans="1:1" x14ac:dyDescent="0.25">
      <c r="A1618" s="40"/>
    </row>
    <row r="1619" spans="1:1" x14ac:dyDescent="0.25">
      <c r="A1619" s="40"/>
    </row>
    <row r="1620" spans="1:1" x14ac:dyDescent="0.25">
      <c r="A1620" s="40"/>
    </row>
    <row r="1621" spans="1:1" x14ac:dyDescent="0.25">
      <c r="A1621" s="40"/>
    </row>
    <row r="1622" spans="1:1" x14ac:dyDescent="0.25">
      <c r="A1622" s="40"/>
    </row>
    <row r="1623" spans="1:1" x14ac:dyDescent="0.25">
      <c r="A1623" s="40"/>
    </row>
    <row r="1624" spans="1:1" x14ac:dyDescent="0.25">
      <c r="A1624" s="40"/>
    </row>
    <row r="1625" spans="1:1" x14ac:dyDescent="0.25">
      <c r="A1625" s="40"/>
    </row>
    <row r="1626" spans="1:1" x14ac:dyDescent="0.25">
      <c r="A1626" s="40"/>
    </row>
    <row r="1627" spans="1:1" x14ac:dyDescent="0.25">
      <c r="A1627" s="40"/>
    </row>
    <row r="1628" spans="1:1" x14ac:dyDescent="0.25">
      <c r="A1628" s="40"/>
    </row>
    <row r="1629" spans="1:1" x14ac:dyDescent="0.25">
      <c r="A1629" s="40"/>
    </row>
    <row r="1630" spans="1:1" x14ac:dyDescent="0.25">
      <c r="A1630" s="40"/>
    </row>
    <row r="1631" spans="1:1" x14ac:dyDescent="0.25">
      <c r="A1631" s="40"/>
    </row>
    <row r="1632" spans="1:1" x14ac:dyDescent="0.25">
      <c r="A1632" s="40"/>
    </row>
    <row r="1633" spans="1:1" x14ac:dyDescent="0.25">
      <c r="A1633" s="40"/>
    </row>
    <row r="1634" spans="1:1" x14ac:dyDescent="0.25">
      <c r="A1634" s="40"/>
    </row>
    <row r="1635" spans="1:1" x14ac:dyDescent="0.25">
      <c r="A1635" s="40"/>
    </row>
    <row r="1636" spans="1:1" x14ac:dyDescent="0.25">
      <c r="A1636" s="40"/>
    </row>
    <row r="1637" spans="1:1" x14ac:dyDescent="0.25">
      <c r="A1637" s="40"/>
    </row>
    <row r="1638" spans="1:1" x14ac:dyDescent="0.25">
      <c r="A1638" s="40"/>
    </row>
    <row r="1639" spans="1:1" x14ac:dyDescent="0.25">
      <c r="A1639" s="40"/>
    </row>
    <row r="1640" spans="1:1" x14ac:dyDescent="0.25">
      <c r="A1640" s="40"/>
    </row>
    <row r="1641" spans="1:1" x14ac:dyDescent="0.25">
      <c r="A1641" s="40"/>
    </row>
    <row r="1642" spans="1:1" x14ac:dyDescent="0.25">
      <c r="A1642" s="40"/>
    </row>
    <row r="1643" spans="1:1" x14ac:dyDescent="0.25">
      <c r="A1643" s="40"/>
    </row>
    <row r="1644" spans="1:1" x14ac:dyDescent="0.25">
      <c r="A1644" s="40"/>
    </row>
    <row r="1645" spans="1:1" x14ac:dyDescent="0.25">
      <c r="A1645" s="40"/>
    </row>
    <row r="1646" spans="1:1" x14ac:dyDescent="0.25">
      <c r="A1646" s="40"/>
    </row>
    <row r="1647" spans="1:1" x14ac:dyDescent="0.25">
      <c r="A1647" s="40"/>
    </row>
    <row r="1648" spans="1:1" x14ac:dyDescent="0.25">
      <c r="A1648" s="40"/>
    </row>
    <row r="1649" spans="1:1" x14ac:dyDescent="0.25">
      <c r="A1649" s="40"/>
    </row>
    <row r="1650" spans="1:1" x14ac:dyDescent="0.25">
      <c r="A1650" s="40"/>
    </row>
    <row r="1651" spans="1:1" x14ac:dyDescent="0.25">
      <c r="A1651" s="40"/>
    </row>
    <row r="1652" spans="1:1" x14ac:dyDescent="0.25">
      <c r="A1652" s="40"/>
    </row>
    <row r="1653" spans="1:1" x14ac:dyDescent="0.25">
      <c r="A1653" s="40"/>
    </row>
    <row r="1654" spans="1:1" x14ac:dyDescent="0.25">
      <c r="A1654" s="40"/>
    </row>
    <row r="1655" spans="1:1" x14ac:dyDescent="0.25">
      <c r="A1655" s="40"/>
    </row>
    <row r="1656" spans="1:1" x14ac:dyDescent="0.25">
      <c r="A1656" s="40"/>
    </row>
    <row r="1657" spans="1:1" x14ac:dyDescent="0.25">
      <c r="A1657" s="40"/>
    </row>
    <row r="1658" spans="1:1" x14ac:dyDescent="0.25">
      <c r="A1658" s="40"/>
    </row>
    <row r="1659" spans="1:1" x14ac:dyDescent="0.25">
      <c r="A1659" s="40"/>
    </row>
    <row r="1660" spans="1:1" x14ac:dyDescent="0.25">
      <c r="A1660" s="40"/>
    </row>
    <row r="1661" spans="1:1" x14ac:dyDescent="0.25">
      <c r="A1661" s="40"/>
    </row>
    <row r="1662" spans="1:1" x14ac:dyDescent="0.25">
      <c r="A1662" s="40"/>
    </row>
    <row r="1663" spans="1:1" x14ac:dyDescent="0.25">
      <c r="A1663" s="40"/>
    </row>
    <row r="1664" spans="1:1" x14ac:dyDescent="0.25">
      <c r="A1664" s="40"/>
    </row>
    <row r="1665" spans="1:1" x14ac:dyDescent="0.25">
      <c r="A1665" s="40"/>
    </row>
    <row r="1666" spans="1:1" x14ac:dyDescent="0.25">
      <c r="A1666" s="40"/>
    </row>
    <row r="1667" spans="1:1" x14ac:dyDescent="0.25">
      <c r="A1667" s="40"/>
    </row>
    <row r="1668" spans="1:1" x14ac:dyDescent="0.25">
      <c r="A1668" s="40"/>
    </row>
    <row r="1669" spans="1:1" x14ac:dyDescent="0.25">
      <c r="A1669" s="40"/>
    </row>
    <row r="1670" spans="1:1" x14ac:dyDescent="0.25">
      <c r="A1670" s="40"/>
    </row>
    <row r="1671" spans="1:1" x14ac:dyDescent="0.25">
      <c r="A1671" s="40"/>
    </row>
    <row r="1672" spans="1:1" x14ac:dyDescent="0.25">
      <c r="A1672" s="40"/>
    </row>
    <row r="1673" spans="1:1" x14ac:dyDescent="0.25">
      <c r="A1673" s="40"/>
    </row>
    <row r="1674" spans="1:1" x14ac:dyDescent="0.25">
      <c r="A1674" s="40"/>
    </row>
    <row r="1675" spans="1:1" x14ac:dyDescent="0.25">
      <c r="A1675" s="40"/>
    </row>
    <row r="1676" spans="1:1" x14ac:dyDescent="0.25">
      <c r="A1676" s="40"/>
    </row>
    <row r="1677" spans="1:1" x14ac:dyDescent="0.25">
      <c r="A1677" s="40"/>
    </row>
    <row r="1678" spans="1:1" x14ac:dyDescent="0.25">
      <c r="A1678" s="40"/>
    </row>
    <row r="1679" spans="1:1" x14ac:dyDescent="0.25">
      <c r="A1679" s="40"/>
    </row>
    <row r="1680" spans="1:1" x14ac:dyDescent="0.25">
      <c r="A1680" s="40"/>
    </row>
    <row r="1681" spans="1:1" x14ac:dyDescent="0.25">
      <c r="A1681" s="40"/>
    </row>
    <row r="1682" spans="1:1" x14ac:dyDescent="0.25">
      <c r="A1682" s="40"/>
    </row>
    <row r="1683" spans="1:1" x14ac:dyDescent="0.25">
      <c r="A1683" s="40"/>
    </row>
    <row r="1684" spans="1:1" x14ac:dyDescent="0.25">
      <c r="A1684" s="40"/>
    </row>
    <row r="1685" spans="1:1" x14ac:dyDescent="0.25">
      <c r="A1685" s="40"/>
    </row>
    <row r="1686" spans="1:1" x14ac:dyDescent="0.25">
      <c r="A1686" s="40"/>
    </row>
    <row r="1687" spans="1:1" x14ac:dyDescent="0.25">
      <c r="A1687" s="40"/>
    </row>
    <row r="1688" spans="1:1" x14ac:dyDescent="0.25">
      <c r="A1688" s="40"/>
    </row>
    <row r="1689" spans="1:1" x14ac:dyDescent="0.25">
      <c r="A1689" s="40"/>
    </row>
    <row r="1690" spans="1:1" x14ac:dyDescent="0.25">
      <c r="A1690" s="40"/>
    </row>
    <row r="1691" spans="1:1" x14ac:dyDescent="0.25">
      <c r="A1691" s="40"/>
    </row>
    <row r="1692" spans="1:1" x14ac:dyDescent="0.25">
      <c r="A1692" s="40"/>
    </row>
    <row r="1693" spans="1:1" x14ac:dyDescent="0.25">
      <c r="A1693" s="40"/>
    </row>
    <row r="1694" spans="1:1" x14ac:dyDescent="0.25">
      <c r="A1694" s="40"/>
    </row>
    <row r="1695" spans="1:1" x14ac:dyDescent="0.25">
      <c r="A1695" s="40"/>
    </row>
    <row r="1696" spans="1:1" x14ac:dyDescent="0.25">
      <c r="A1696" s="40"/>
    </row>
    <row r="1697" spans="1:1" x14ac:dyDescent="0.25">
      <c r="A1697" s="40"/>
    </row>
    <row r="1698" spans="1:1" x14ac:dyDescent="0.25">
      <c r="A1698" s="40"/>
    </row>
    <row r="1699" spans="1:1" x14ac:dyDescent="0.25">
      <c r="A1699" s="40"/>
    </row>
    <row r="1700" spans="1:1" x14ac:dyDescent="0.25">
      <c r="A1700" s="40"/>
    </row>
    <row r="1701" spans="1:1" x14ac:dyDescent="0.25">
      <c r="A1701" s="40"/>
    </row>
    <row r="1702" spans="1:1" x14ac:dyDescent="0.25">
      <c r="A1702" s="40"/>
    </row>
    <row r="1703" spans="1:1" x14ac:dyDescent="0.25">
      <c r="A1703" s="40"/>
    </row>
    <row r="1704" spans="1:1" x14ac:dyDescent="0.25">
      <c r="A1704" s="40"/>
    </row>
    <row r="1705" spans="1:1" x14ac:dyDescent="0.25">
      <c r="A1705" s="40"/>
    </row>
    <row r="1706" spans="1:1" x14ac:dyDescent="0.25">
      <c r="A1706" s="40"/>
    </row>
    <row r="1707" spans="1:1" x14ac:dyDescent="0.25">
      <c r="A1707" s="40"/>
    </row>
    <row r="1708" spans="1:1" x14ac:dyDescent="0.25">
      <c r="A1708" s="40"/>
    </row>
    <row r="1709" spans="1:1" x14ac:dyDescent="0.25">
      <c r="A1709" s="40"/>
    </row>
    <row r="1710" spans="1:1" x14ac:dyDescent="0.25">
      <c r="A1710" s="40"/>
    </row>
    <row r="1711" spans="1:1" x14ac:dyDescent="0.25">
      <c r="A1711" s="40"/>
    </row>
    <row r="1712" spans="1:1" x14ac:dyDescent="0.25">
      <c r="A1712" s="40"/>
    </row>
    <row r="1713" spans="1:1" x14ac:dyDescent="0.25">
      <c r="A1713" s="40"/>
    </row>
    <row r="1714" spans="1:1" x14ac:dyDescent="0.25">
      <c r="A1714" s="40"/>
    </row>
    <row r="1715" spans="1:1" x14ac:dyDescent="0.25">
      <c r="A1715" s="40"/>
    </row>
    <row r="1716" spans="1:1" x14ac:dyDescent="0.25">
      <c r="A1716" s="40"/>
    </row>
    <row r="1717" spans="1:1" x14ac:dyDescent="0.25">
      <c r="A1717" s="40"/>
    </row>
    <row r="1718" spans="1:1" x14ac:dyDescent="0.25">
      <c r="A1718" s="40"/>
    </row>
    <row r="1719" spans="1:1" x14ac:dyDescent="0.25">
      <c r="A1719" s="40"/>
    </row>
    <row r="1720" spans="1:1" x14ac:dyDescent="0.25">
      <c r="A1720" s="40"/>
    </row>
    <row r="1721" spans="1:1" x14ac:dyDescent="0.25">
      <c r="A1721" s="40"/>
    </row>
    <row r="1722" spans="1:1" x14ac:dyDescent="0.25">
      <c r="A1722" s="40"/>
    </row>
    <row r="1723" spans="1:1" x14ac:dyDescent="0.25">
      <c r="A1723" s="40"/>
    </row>
    <row r="1724" spans="1:1" x14ac:dyDescent="0.25">
      <c r="A1724" s="40"/>
    </row>
    <row r="1725" spans="1:1" x14ac:dyDescent="0.25">
      <c r="A1725" s="40"/>
    </row>
    <row r="1726" spans="1:1" x14ac:dyDescent="0.25">
      <c r="A1726" s="40"/>
    </row>
    <row r="1727" spans="1:1" x14ac:dyDescent="0.25">
      <c r="A1727" s="40"/>
    </row>
    <row r="1728" spans="1:1" x14ac:dyDescent="0.25">
      <c r="A1728" s="40"/>
    </row>
    <row r="1729" spans="1:1" x14ac:dyDescent="0.25">
      <c r="A1729" s="40"/>
    </row>
    <row r="1730" spans="1:1" x14ac:dyDescent="0.25">
      <c r="A1730" s="40"/>
    </row>
    <row r="1731" spans="1:1" x14ac:dyDescent="0.25">
      <c r="A1731" s="40"/>
    </row>
    <row r="1732" spans="1:1" x14ac:dyDescent="0.25">
      <c r="A1732" s="40"/>
    </row>
    <row r="1733" spans="1:1" x14ac:dyDescent="0.25">
      <c r="A1733" s="40"/>
    </row>
    <row r="1734" spans="1:1" x14ac:dyDescent="0.25">
      <c r="A1734" s="40"/>
    </row>
    <row r="1735" spans="1:1" x14ac:dyDescent="0.25">
      <c r="A1735" s="40"/>
    </row>
    <row r="1736" spans="1:1" x14ac:dyDescent="0.25">
      <c r="A1736" s="40"/>
    </row>
    <row r="1737" spans="1:1" x14ac:dyDescent="0.25">
      <c r="A1737" s="40"/>
    </row>
    <row r="1738" spans="1:1" x14ac:dyDescent="0.25">
      <c r="A1738" s="40"/>
    </row>
    <row r="1739" spans="1:1" x14ac:dyDescent="0.25">
      <c r="A1739" s="40"/>
    </row>
    <row r="1740" spans="1:1" x14ac:dyDescent="0.25">
      <c r="A1740" s="40"/>
    </row>
    <row r="1741" spans="1:1" x14ac:dyDescent="0.25">
      <c r="A1741" s="40"/>
    </row>
    <row r="1742" spans="1:1" x14ac:dyDescent="0.25">
      <c r="A1742" s="40"/>
    </row>
    <row r="1743" spans="1:1" x14ac:dyDescent="0.25">
      <c r="A1743" s="40"/>
    </row>
    <row r="1744" spans="1:1" x14ac:dyDescent="0.25">
      <c r="A1744" s="40"/>
    </row>
    <row r="1745" spans="1:1" x14ac:dyDescent="0.25">
      <c r="A1745" s="40"/>
    </row>
    <row r="1746" spans="1:1" x14ac:dyDescent="0.25">
      <c r="A1746" s="40"/>
    </row>
    <row r="1747" spans="1:1" x14ac:dyDescent="0.25">
      <c r="A1747" s="40"/>
    </row>
    <row r="1748" spans="1:1" x14ac:dyDescent="0.25">
      <c r="A1748" s="40"/>
    </row>
    <row r="1749" spans="1:1" x14ac:dyDescent="0.25">
      <c r="A1749" s="40"/>
    </row>
    <row r="1750" spans="1:1" x14ac:dyDescent="0.25">
      <c r="A1750" s="40"/>
    </row>
    <row r="1751" spans="1:1" x14ac:dyDescent="0.25">
      <c r="A1751" s="40"/>
    </row>
    <row r="1752" spans="1:1" x14ac:dyDescent="0.25">
      <c r="A1752" s="40"/>
    </row>
    <row r="1753" spans="1:1" x14ac:dyDescent="0.25">
      <c r="A1753" s="40"/>
    </row>
    <row r="1754" spans="1:1" x14ac:dyDescent="0.25">
      <c r="A1754" s="40"/>
    </row>
    <row r="1755" spans="1:1" x14ac:dyDescent="0.25">
      <c r="A1755" s="40"/>
    </row>
    <row r="1756" spans="1:1" x14ac:dyDescent="0.25">
      <c r="A1756" s="40"/>
    </row>
    <row r="1757" spans="1:1" x14ac:dyDescent="0.25">
      <c r="A1757" s="40"/>
    </row>
    <row r="1758" spans="1:1" x14ac:dyDescent="0.25">
      <c r="A1758" s="40"/>
    </row>
    <row r="1759" spans="1:1" x14ac:dyDescent="0.25">
      <c r="A1759" s="40"/>
    </row>
    <row r="1760" spans="1:1" x14ac:dyDescent="0.25">
      <c r="A1760" s="40"/>
    </row>
    <row r="1761" spans="1:1" x14ac:dyDescent="0.25">
      <c r="A1761" s="40"/>
    </row>
    <row r="1762" spans="1:1" x14ac:dyDescent="0.25">
      <c r="A1762" s="40"/>
    </row>
    <row r="1763" spans="1:1" x14ac:dyDescent="0.25">
      <c r="A1763" s="40"/>
    </row>
    <row r="1764" spans="1:1" x14ac:dyDescent="0.25">
      <c r="A1764" s="40"/>
    </row>
    <row r="1765" spans="1:1" x14ac:dyDescent="0.25">
      <c r="A1765" s="40"/>
    </row>
    <row r="1766" spans="1:1" x14ac:dyDescent="0.25">
      <c r="A1766" s="40"/>
    </row>
    <row r="1767" spans="1:1" x14ac:dyDescent="0.25">
      <c r="A1767" s="40"/>
    </row>
    <row r="1768" spans="1:1" x14ac:dyDescent="0.25">
      <c r="A1768" s="40"/>
    </row>
    <row r="1769" spans="1:1" x14ac:dyDescent="0.25">
      <c r="A1769" s="40"/>
    </row>
    <row r="1770" spans="1:1" x14ac:dyDescent="0.25">
      <c r="A1770" s="40"/>
    </row>
    <row r="1771" spans="1:1" x14ac:dyDescent="0.25">
      <c r="A1771" s="40"/>
    </row>
    <row r="1772" spans="1:1" x14ac:dyDescent="0.25">
      <c r="A1772" s="40"/>
    </row>
    <row r="1773" spans="1:1" x14ac:dyDescent="0.25">
      <c r="A1773" s="40"/>
    </row>
    <row r="1774" spans="1:1" x14ac:dyDescent="0.25">
      <c r="A1774" s="40"/>
    </row>
    <row r="1775" spans="1:1" x14ac:dyDescent="0.25">
      <c r="A1775" s="40"/>
    </row>
    <row r="1776" spans="1:1" x14ac:dyDescent="0.25">
      <c r="A1776" s="40"/>
    </row>
    <row r="1777" spans="1:1" x14ac:dyDescent="0.25">
      <c r="A1777" s="40"/>
    </row>
    <row r="1778" spans="1:1" x14ac:dyDescent="0.25">
      <c r="A1778" s="40"/>
    </row>
    <row r="1779" spans="1:1" x14ac:dyDescent="0.25">
      <c r="A1779" s="40"/>
    </row>
    <row r="1780" spans="1:1" x14ac:dyDescent="0.25">
      <c r="A1780" s="40"/>
    </row>
    <row r="1781" spans="1:1" x14ac:dyDescent="0.25">
      <c r="A1781" s="40"/>
    </row>
    <row r="1782" spans="1:1" x14ac:dyDescent="0.25">
      <c r="A1782" s="40"/>
    </row>
    <row r="1783" spans="1:1" x14ac:dyDescent="0.25">
      <c r="A1783" s="40"/>
    </row>
    <row r="1784" spans="1:1" x14ac:dyDescent="0.25">
      <c r="A1784" s="40"/>
    </row>
    <row r="1785" spans="1:1" x14ac:dyDescent="0.25">
      <c r="A1785" s="40"/>
    </row>
    <row r="1786" spans="1:1" x14ac:dyDescent="0.25">
      <c r="A1786" s="40"/>
    </row>
    <row r="1787" spans="1:1" x14ac:dyDescent="0.25">
      <c r="A1787" s="40"/>
    </row>
    <row r="1788" spans="1:1" x14ac:dyDescent="0.25">
      <c r="A1788" s="40"/>
    </row>
    <row r="1789" spans="1:1" x14ac:dyDescent="0.25">
      <c r="A1789" s="40"/>
    </row>
    <row r="1790" spans="1:1" x14ac:dyDescent="0.25">
      <c r="A1790" s="40"/>
    </row>
    <row r="1791" spans="1:1" x14ac:dyDescent="0.25">
      <c r="A1791" s="40"/>
    </row>
    <row r="1792" spans="1:1" x14ac:dyDescent="0.25">
      <c r="A1792" s="40"/>
    </row>
    <row r="1793" spans="1:1" x14ac:dyDescent="0.25">
      <c r="A1793" s="40"/>
    </row>
    <row r="1794" spans="1:1" x14ac:dyDescent="0.25">
      <c r="A1794" s="40"/>
    </row>
    <row r="1795" spans="1:1" x14ac:dyDescent="0.25">
      <c r="A1795" s="40"/>
    </row>
    <row r="1796" spans="1:1" x14ac:dyDescent="0.25">
      <c r="A1796" s="40"/>
    </row>
    <row r="1797" spans="1:1" x14ac:dyDescent="0.25">
      <c r="A1797" s="40"/>
    </row>
    <row r="1798" spans="1:1" x14ac:dyDescent="0.25">
      <c r="A1798" s="40"/>
    </row>
    <row r="1799" spans="1:1" x14ac:dyDescent="0.25">
      <c r="A1799" s="40"/>
    </row>
    <row r="1800" spans="1:1" x14ac:dyDescent="0.25">
      <c r="A1800" s="40"/>
    </row>
    <row r="1801" spans="1:1" x14ac:dyDescent="0.25">
      <c r="A1801" s="40"/>
    </row>
    <row r="1802" spans="1:1" x14ac:dyDescent="0.25">
      <c r="A1802" s="40"/>
    </row>
    <row r="1803" spans="1:1" x14ac:dyDescent="0.25">
      <c r="A1803" s="40"/>
    </row>
    <row r="1804" spans="1:1" x14ac:dyDescent="0.25">
      <c r="A1804" s="40"/>
    </row>
    <row r="1805" spans="1:1" x14ac:dyDescent="0.25">
      <c r="A1805" s="40"/>
    </row>
    <row r="1806" spans="1:1" x14ac:dyDescent="0.25">
      <c r="A1806" s="40"/>
    </row>
    <row r="1807" spans="1:1" x14ac:dyDescent="0.25">
      <c r="A1807" s="40"/>
    </row>
    <row r="1808" spans="1:1" x14ac:dyDescent="0.25">
      <c r="A1808" s="40"/>
    </row>
    <row r="1809" spans="1:1" x14ac:dyDescent="0.25">
      <c r="A1809" s="40"/>
    </row>
    <row r="1810" spans="1:1" x14ac:dyDescent="0.25">
      <c r="A1810" s="40"/>
    </row>
    <row r="1811" spans="1:1" x14ac:dyDescent="0.25">
      <c r="A1811" s="40"/>
    </row>
    <row r="1812" spans="1:1" x14ac:dyDescent="0.25">
      <c r="A1812" s="40"/>
    </row>
    <row r="1813" spans="1:1" x14ac:dyDescent="0.25">
      <c r="A1813" s="40"/>
    </row>
    <row r="1814" spans="1:1" x14ac:dyDescent="0.25">
      <c r="A1814" s="40"/>
    </row>
    <row r="1815" spans="1:1" x14ac:dyDescent="0.25">
      <c r="A1815" s="40"/>
    </row>
    <row r="1816" spans="1:1" x14ac:dyDescent="0.25">
      <c r="A1816" s="40"/>
    </row>
    <row r="1817" spans="1:1" x14ac:dyDescent="0.25">
      <c r="A1817" s="40"/>
    </row>
    <row r="1818" spans="1:1" x14ac:dyDescent="0.25">
      <c r="A1818" s="40"/>
    </row>
    <row r="1819" spans="1:1" x14ac:dyDescent="0.25">
      <c r="A1819" s="40"/>
    </row>
    <row r="1820" spans="1:1" x14ac:dyDescent="0.25">
      <c r="A1820" s="40"/>
    </row>
    <row r="1821" spans="1:1" x14ac:dyDescent="0.25">
      <c r="A1821" s="40"/>
    </row>
    <row r="1822" spans="1:1" x14ac:dyDescent="0.25">
      <c r="A1822" s="40"/>
    </row>
    <row r="1823" spans="1:1" x14ac:dyDescent="0.25">
      <c r="A1823" s="40"/>
    </row>
    <row r="1824" spans="1:1" x14ac:dyDescent="0.25">
      <c r="A1824" s="40"/>
    </row>
    <row r="1825" spans="1:1" x14ac:dyDescent="0.25">
      <c r="A1825" s="40"/>
    </row>
    <row r="1826" spans="1:1" x14ac:dyDescent="0.25">
      <c r="A1826" s="40"/>
    </row>
    <row r="1827" spans="1:1" x14ac:dyDescent="0.25">
      <c r="A1827" s="40"/>
    </row>
    <row r="1828" spans="1:1" x14ac:dyDescent="0.25">
      <c r="A1828" s="40"/>
    </row>
    <row r="1829" spans="1:1" x14ac:dyDescent="0.25">
      <c r="A1829" s="40"/>
    </row>
    <row r="1830" spans="1:1" x14ac:dyDescent="0.25">
      <c r="A1830" s="40"/>
    </row>
    <row r="1831" spans="1:1" x14ac:dyDescent="0.25">
      <c r="A1831" s="40"/>
    </row>
    <row r="1832" spans="1:1" x14ac:dyDescent="0.25">
      <c r="A1832" s="40"/>
    </row>
    <row r="1833" spans="1:1" x14ac:dyDescent="0.25">
      <c r="A1833" s="40"/>
    </row>
    <row r="1834" spans="1:1" x14ac:dyDescent="0.25">
      <c r="A1834" s="40"/>
    </row>
    <row r="1835" spans="1:1" x14ac:dyDescent="0.25">
      <c r="A1835" s="40"/>
    </row>
    <row r="1836" spans="1:1" x14ac:dyDescent="0.25">
      <c r="A1836" s="40"/>
    </row>
    <row r="1837" spans="1:1" x14ac:dyDescent="0.25">
      <c r="A1837" s="40"/>
    </row>
    <row r="1838" spans="1:1" x14ac:dyDescent="0.25">
      <c r="A1838" s="40"/>
    </row>
    <row r="1839" spans="1:1" x14ac:dyDescent="0.25">
      <c r="A1839" s="40"/>
    </row>
    <row r="1840" spans="1:1" x14ac:dyDescent="0.25">
      <c r="A1840" s="40"/>
    </row>
    <row r="1841" spans="1:1" x14ac:dyDescent="0.25">
      <c r="A1841" s="40"/>
    </row>
    <row r="1842" spans="1:1" x14ac:dyDescent="0.25">
      <c r="A1842" s="40"/>
    </row>
    <row r="1843" spans="1:1" x14ac:dyDescent="0.25">
      <c r="A1843" s="40"/>
    </row>
    <row r="1844" spans="1:1" x14ac:dyDescent="0.25">
      <c r="A1844" s="40"/>
    </row>
    <row r="1845" spans="1:1" x14ac:dyDescent="0.25">
      <c r="A1845" s="40"/>
    </row>
    <row r="1846" spans="1:1" x14ac:dyDescent="0.25">
      <c r="A1846" s="40"/>
    </row>
    <row r="1847" spans="1:1" x14ac:dyDescent="0.25">
      <c r="A1847" s="40"/>
    </row>
    <row r="1848" spans="1:1" x14ac:dyDescent="0.25">
      <c r="A1848" s="40"/>
    </row>
    <row r="1849" spans="1:1" x14ac:dyDescent="0.25">
      <c r="A1849" s="40"/>
    </row>
    <row r="1850" spans="1:1" x14ac:dyDescent="0.25">
      <c r="A1850" s="40"/>
    </row>
    <row r="1851" spans="1:1" x14ac:dyDescent="0.25">
      <c r="A1851" s="40"/>
    </row>
    <row r="1852" spans="1:1" x14ac:dyDescent="0.25">
      <c r="A1852" s="40"/>
    </row>
    <row r="1853" spans="1:1" x14ac:dyDescent="0.25">
      <c r="A1853" s="40"/>
    </row>
    <row r="1854" spans="1:1" x14ac:dyDescent="0.25">
      <c r="A1854" s="40"/>
    </row>
    <row r="1855" spans="1:1" x14ac:dyDescent="0.25">
      <c r="A1855" s="40"/>
    </row>
    <row r="1856" spans="1:1" x14ac:dyDescent="0.25">
      <c r="A1856" s="40"/>
    </row>
    <row r="1857" spans="1:1" x14ac:dyDescent="0.25">
      <c r="A1857" s="40"/>
    </row>
    <row r="1858" spans="1:1" x14ac:dyDescent="0.25">
      <c r="A1858" s="40"/>
    </row>
    <row r="1859" spans="1:1" x14ac:dyDescent="0.25">
      <c r="A1859" s="40"/>
    </row>
    <row r="1860" spans="1:1" x14ac:dyDescent="0.25">
      <c r="A1860" s="40"/>
    </row>
    <row r="1861" spans="1:1" x14ac:dyDescent="0.25">
      <c r="A1861" s="40"/>
    </row>
    <row r="1862" spans="1:1" x14ac:dyDescent="0.25">
      <c r="A1862" s="40"/>
    </row>
    <row r="1863" spans="1:1" x14ac:dyDescent="0.25">
      <c r="A1863" s="40"/>
    </row>
    <row r="1864" spans="1:1" x14ac:dyDescent="0.25">
      <c r="A1864" s="40"/>
    </row>
    <row r="1865" spans="1:1" x14ac:dyDescent="0.25">
      <c r="A1865" s="40"/>
    </row>
    <row r="1866" spans="1:1" x14ac:dyDescent="0.25">
      <c r="A1866" s="40"/>
    </row>
    <row r="1867" spans="1:1" x14ac:dyDescent="0.25">
      <c r="A1867" s="40"/>
    </row>
    <row r="1868" spans="1:1" x14ac:dyDescent="0.25">
      <c r="A1868" s="40"/>
    </row>
    <row r="1869" spans="1:1" x14ac:dyDescent="0.25">
      <c r="A1869" s="40"/>
    </row>
    <row r="1870" spans="1:1" x14ac:dyDescent="0.25">
      <c r="A1870" s="40"/>
    </row>
    <row r="1871" spans="1:1" x14ac:dyDescent="0.25">
      <c r="A1871" s="40"/>
    </row>
    <row r="1872" spans="1:1" x14ac:dyDescent="0.25">
      <c r="A1872" s="40"/>
    </row>
    <row r="1873" spans="1:1" x14ac:dyDescent="0.25">
      <c r="A1873" s="40"/>
    </row>
    <row r="1874" spans="1:1" x14ac:dyDescent="0.25">
      <c r="A1874" s="40"/>
    </row>
    <row r="1875" spans="1:1" x14ac:dyDescent="0.25">
      <c r="A1875" s="40"/>
    </row>
    <row r="1876" spans="1:1" x14ac:dyDescent="0.25">
      <c r="A1876" s="40"/>
    </row>
    <row r="1877" spans="1:1" x14ac:dyDescent="0.25">
      <c r="A1877" s="40"/>
    </row>
    <row r="1878" spans="1:1" x14ac:dyDescent="0.25">
      <c r="A1878" s="40"/>
    </row>
    <row r="1879" spans="1:1" x14ac:dyDescent="0.25">
      <c r="A1879" s="40"/>
    </row>
    <row r="1880" spans="1:1" x14ac:dyDescent="0.25">
      <c r="A1880" s="40"/>
    </row>
    <row r="1881" spans="1:1" x14ac:dyDescent="0.25">
      <c r="A1881" s="40"/>
    </row>
    <row r="1882" spans="1:1" x14ac:dyDescent="0.25">
      <c r="A1882" s="40"/>
    </row>
    <row r="1883" spans="1:1" x14ac:dyDescent="0.25">
      <c r="A1883" s="40"/>
    </row>
    <row r="1884" spans="1:1" x14ac:dyDescent="0.25">
      <c r="A1884" s="40"/>
    </row>
    <row r="1885" spans="1:1" x14ac:dyDescent="0.25">
      <c r="A1885" s="40"/>
    </row>
    <row r="1886" spans="1:1" x14ac:dyDescent="0.25">
      <c r="A1886" s="40"/>
    </row>
    <row r="1887" spans="1:1" x14ac:dyDescent="0.25">
      <c r="A1887" s="40"/>
    </row>
    <row r="1888" spans="1:1" x14ac:dyDescent="0.25">
      <c r="A1888" s="40"/>
    </row>
    <row r="1889" spans="1:1" x14ac:dyDescent="0.25">
      <c r="A1889" s="40"/>
    </row>
    <row r="1890" spans="1:1" x14ac:dyDescent="0.25">
      <c r="A1890" s="40"/>
    </row>
    <row r="1891" spans="1:1" x14ac:dyDescent="0.25">
      <c r="A1891" s="40"/>
    </row>
    <row r="1892" spans="1:1" x14ac:dyDescent="0.25">
      <c r="A1892" s="40"/>
    </row>
    <row r="1893" spans="1:1" x14ac:dyDescent="0.25">
      <c r="A1893" s="40"/>
    </row>
    <row r="1894" spans="1:1" x14ac:dyDescent="0.25">
      <c r="A1894" s="40"/>
    </row>
    <row r="1895" spans="1:1" x14ac:dyDescent="0.25">
      <c r="A1895" s="40"/>
    </row>
    <row r="1896" spans="1:1" x14ac:dyDescent="0.25">
      <c r="A1896" s="40"/>
    </row>
    <row r="1897" spans="1:1" x14ac:dyDescent="0.25">
      <c r="A1897" s="40"/>
    </row>
    <row r="1898" spans="1:1" x14ac:dyDescent="0.25">
      <c r="A1898" s="40"/>
    </row>
    <row r="1899" spans="1:1" x14ac:dyDescent="0.25">
      <c r="A1899" s="40"/>
    </row>
    <row r="1900" spans="1:1" x14ac:dyDescent="0.25">
      <c r="A1900" s="40"/>
    </row>
    <row r="1901" spans="1:1" x14ac:dyDescent="0.25">
      <c r="A1901" s="40"/>
    </row>
    <row r="1902" spans="1:1" x14ac:dyDescent="0.25">
      <c r="A1902" s="40"/>
    </row>
    <row r="1903" spans="1:1" x14ac:dyDescent="0.25">
      <c r="A1903" s="40"/>
    </row>
    <row r="1904" spans="1:1" x14ac:dyDescent="0.25">
      <c r="A1904" s="40"/>
    </row>
    <row r="1905" spans="1:1" x14ac:dyDescent="0.25">
      <c r="A1905" s="40"/>
    </row>
    <row r="1906" spans="1:1" x14ac:dyDescent="0.25">
      <c r="A1906" s="40"/>
    </row>
    <row r="1907" spans="1:1" x14ac:dyDescent="0.25">
      <c r="A1907" s="40"/>
    </row>
    <row r="1908" spans="1:1" x14ac:dyDescent="0.25">
      <c r="A1908" s="40"/>
    </row>
    <row r="1909" spans="1:1" x14ac:dyDescent="0.25">
      <c r="A1909" s="40"/>
    </row>
    <row r="1910" spans="1:1" x14ac:dyDescent="0.25">
      <c r="A1910" s="40"/>
    </row>
    <row r="1911" spans="1:1" x14ac:dyDescent="0.25">
      <c r="A1911" s="40"/>
    </row>
    <row r="1912" spans="1:1" x14ac:dyDescent="0.25">
      <c r="A1912" s="40"/>
    </row>
    <row r="1913" spans="1:1" x14ac:dyDescent="0.25">
      <c r="A1913" s="40"/>
    </row>
    <row r="1914" spans="1:1" x14ac:dyDescent="0.25">
      <c r="A1914" s="40"/>
    </row>
    <row r="1915" spans="1:1" x14ac:dyDescent="0.25">
      <c r="A1915" s="40"/>
    </row>
    <row r="1916" spans="1:1" x14ac:dyDescent="0.25">
      <c r="A1916" s="40"/>
    </row>
    <row r="1917" spans="1:1" x14ac:dyDescent="0.25">
      <c r="A1917" s="40"/>
    </row>
    <row r="1918" spans="1:1" x14ac:dyDescent="0.25">
      <c r="A1918" s="40"/>
    </row>
    <row r="1919" spans="1:1" x14ac:dyDescent="0.25">
      <c r="A1919" s="40"/>
    </row>
    <row r="1920" spans="1:1" x14ac:dyDescent="0.25">
      <c r="A1920" s="40"/>
    </row>
    <row r="1921" spans="1:1" x14ac:dyDescent="0.25">
      <c r="A1921" s="40"/>
    </row>
    <row r="1922" spans="1:1" x14ac:dyDescent="0.25">
      <c r="A1922" s="40"/>
    </row>
    <row r="1923" spans="1:1" x14ac:dyDescent="0.25">
      <c r="A1923" s="40"/>
    </row>
    <row r="1924" spans="1:1" x14ac:dyDescent="0.25">
      <c r="A1924" s="40"/>
    </row>
    <row r="1925" spans="1:1" x14ac:dyDescent="0.25">
      <c r="A1925" s="40"/>
    </row>
    <row r="1926" spans="1:1" x14ac:dyDescent="0.25">
      <c r="A1926" s="40"/>
    </row>
    <row r="1927" spans="1:1" x14ac:dyDescent="0.25">
      <c r="A1927" s="40"/>
    </row>
    <row r="1928" spans="1:1" x14ac:dyDescent="0.25">
      <c r="A1928" s="40"/>
    </row>
    <row r="1929" spans="1:1" x14ac:dyDescent="0.25">
      <c r="A1929" s="40"/>
    </row>
    <row r="1930" spans="1:1" x14ac:dyDescent="0.25">
      <c r="A1930" s="40"/>
    </row>
    <row r="1931" spans="1:1" x14ac:dyDescent="0.25">
      <c r="A1931" s="40"/>
    </row>
    <row r="1932" spans="1:1" x14ac:dyDescent="0.25">
      <c r="A1932" s="40"/>
    </row>
    <row r="1933" spans="1:1" x14ac:dyDescent="0.25">
      <c r="A1933" s="40"/>
    </row>
    <row r="1934" spans="1:1" x14ac:dyDescent="0.25">
      <c r="A1934" s="40"/>
    </row>
    <row r="1935" spans="1:1" x14ac:dyDescent="0.25">
      <c r="A1935" s="40"/>
    </row>
    <row r="1936" spans="1:1" x14ac:dyDescent="0.25">
      <c r="A1936" s="40"/>
    </row>
    <row r="1937" spans="1:1" x14ac:dyDescent="0.25">
      <c r="A1937" s="40"/>
    </row>
    <row r="1938" spans="1:1" x14ac:dyDescent="0.25">
      <c r="A1938" s="40"/>
    </row>
    <row r="1939" spans="1:1" x14ac:dyDescent="0.25">
      <c r="A1939" s="40"/>
    </row>
    <row r="1940" spans="1:1" x14ac:dyDescent="0.25">
      <c r="A1940" s="40"/>
    </row>
    <row r="1941" spans="1:1" x14ac:dyDescent="0.25">
      <c r="A1941" s="40"/>
    </row>
    <row r="1942" spans="1:1" x14ac:dyDescent="0.25">
      <c r="A1942" s="40"/>
    </row>
    <row r="1943" spans="1:1" x14ac:dyDescent="0.25">
      <c r="A1943" s="40"/>
    </row>
    <row r="1944" spans="1:1" x14ac:dyDescent="0.25">
      <c r="A1944" s="40"/>
    </row>
    <row r="1945" spans="1:1" x14ac:dyDescent="0.25">
      <c r="A1945" s="40"/>
    </row>
    <row r="1946" spans="1:1" x14ac:dyDescent="0.25">
      <c r="A1946" s="40"/>
    </row>
    <row r="1947" spans="1:1" x14ac:dyDescent="0.25">
      <c r="A1947" s="40"/>
    </row>
    <row r="1948" spans="1:1" x14ac:dyDescent="0.25">
      <c r="A1948" s="40"/>
    </row>
    <row r="1949" spans="1:1" x14ac:dyDescent="0.25">
      <c r="A1949" s="40"/>
    </row>
    <row r="1950" spans="1:1" x14ac:dyDescent="0.25">
      <c r="A1950" s="40"/>
    </row>
    <row r="1951" spans="1:1" x14ac:dyDescent="0.25">
      <c r="A1951" s="40"/>
    </row>
    <row r="1952" spans="1:1" x14ac:dyDescent="0.25">
      <c r="A1952" s="40"/>
    </row>
    <row r="1953" spans="1:1" x14ac:dyDescent="0.25">
      <c r="A1953" s="40"/>
    </row>
    <row r="1954" spans="1:1" x14ac:dyDescent="0.25">
      <c r="A1954" s="40"/>
    </row>
    <row r="1955" spans="1:1" x14ac:dyDescent="0.25">
      <c r="A1955" s="40"/>
    </row>
    <row r="1956" spans="1:1" x14ac:dyDescent="0.25">
      <c r="A1956" s="40"/>
    </row>
    <row r="1957" spans="1:1" x14ac:dyDescent="0.25">
      <c r="A1957" s="40"/>
    </row>
    <row r="1958" spans="1:1" x14ac:dyDescent="0.25">
      <c r="A1958" s="40"/>
    </row>
    <row r="1959" spans="1:1" x14ac:dyDescent="0.25">
      <c r="A1959" s="40"/>
    </row>
    <row r="1960" spans="1:1" x14ac:dyDescent="0.25">
      <c r="A1960" s="40"/>
    </row>
    <row r="1961" spans="1:1" x14ac:dyDescent="0.25">
      <c r="A1961" s="40"/>
    </row>
    <row r="1962" spans="1:1" x14ac:dyDescent="0.25">
      <c r="A1962" s="40"/>
    </row>
    <row r="1963" spans="1:1" x14ac:dyDescent="0.25">
      <c r="A1963" s="40"/>
    </row>
    <row r="1964" spans="1:1" x14ac:dyDescent="0.25">
      <c r="A1964" s="40"/>
    </row>
    <row r="1965" spans="1:1" x14ac:dyDescent="0.25">
      <c r="A1965" s="40"/>
    </row>
    <row r="1966" spans="1:1" x14ac:dyDescent="0.25">
      <c r="A1966" s="40"/>
    </row>
    <row r="1967" spans="1:1" x14ac:dyDescent="0.25">
      <c r="A1967" s="40"/>
    </row>
    <row r="1968" spans="1:1" x14ac:dyDescent="0.25">
      <c r="A1968" s="40"/>
    </row>
    <row r="1969" spans="1:1" x14ac:dyDescent="0.25">
      <c r="A1969" s="40"/>
    </row>
    <row r="1970" spans="1:1" x14ac:dyDescent="0.25">
      <c r="A1970" s="40"/>
    </row>
    <row r="1971" spans="1:1" x14ac:dyDescent="0.25">
      <c r="A1971" s="40"/>
    </row>
    <row r="1972" spans="1:1" x14ac:dyDescent="0.25">
      <c r="A1972" s="40"/>
    </row>
    <row r="1973" spans="1:1" x14ac:dyDescent="0.25">
      <c r="A1973" s="40"/>
    </row>
    <row r="1974" spans="1:1" x14ac:dyDescent="0.25">
      <c r="A1974" s="40"/>
    </row>
    <row r="1975" spans="1:1" x14ac:dyDescent="0.25">
      <c r="A1975" s="40"/>
    </row>
    <row r="1976" spans="1:1" x14ac:dyDescent="0.25">
      <c r="A1976" s="40"/>
    </row>
    <row r="1977" spans="1:1" x14ac:dyDescent="0.25">
      <c r="A1977" s="40"/>
    </row>
    <row r="1978" spans="1:1" x14ac:dyDescent="0.25">
      <c r="A1978" s="40"/>
    </row>
    <row r="1979" spans="1:1" x14ac:dyDescent="0.25">
      <c r="A1979" s="40"/>
    </row>
    <row r="1980" spans="1:1" x14ac:dyDescent="0.25">
      <c r="A1980" s="40"/>
    </row>
    <row r="1981" spans="1:1" x14ac:dyDescent="0.25">
      <c r="A1981" s="40"/>
    </row>
    <row r="1982" spans="1:1" x14ac:dyDescent="0.25">
      <c r="A1982" s="40"/>
    </row>
    <row r="1983" spans="1:1" x14ac:dyDescent="0.25">
      <c r="A1983" s="40"/>
    </row>
    <row r="1984" spans="1:1" x14ac:dyDescent="0.25">
      <c r="A1984" s="40"/>
    </row>
    <row r="1985" spans="1:1" x14ac:dyDescent="0.25">
      <c r="A1985" s="40"/>
    </row>
    <row r="1986" spans="1:1" x14ac:dyDescent="0.25">
      <c r="A1986" s="40"/>
    </row>
    <row r="1987" spans="1:1" x14ac:dyDescent="0.25">
      <c r="A1987" s="40"/>
    </row>
    <row r="1988" spans="1:1" x14ac:dyDescent="0.25">
      <c r="A1988" s="40"/>
    </row>
    <row r="1989" spans="1:1" x14ac:dyDescent="0.25">
      <c r="A1989" s="40"/>
    </row>
    <row r="1990" spans="1:1" x14ac:dyDescent="0.25">
      <c r="A1990" s="40"/>
    </row>
    <row r="1991" spans="1:1" x14ac:dyDescent="0.25">
      <c r="A1991" s="40"/>
    </row>
    <row r="1992" spans="1:1" x14ac:dyDescent="0.25">
      <c r="A1992" s="40"/>
    </row>
    <row r="1993" spans="1:1" x14ac:dyDescent="0.25">
      <c r="A1993" s="40"/>
    </row>
    <row r="1994" spans="1:1" x14ac:dyDescent="0.25">
      <c r="A1994" s="40"/>
    </row>
    <row r="1995" spans="1:1" x14ac:dyDescent="0.25">
      <c r="A1995" s="40"/>
    </row>
    <row r="1996" spans="1:1" x14ac:dyDescent="0.25">
      <c r="A1996" s="40"/>
    </row>
    <row r="1997" spans="1:1" x14ac:dyDescent="0.25">
      <c r="A1997" s="40"/>
    </row>
    <row r="1998" spans="1:1" x14ac:dyDescent="0.25">
      <c r="A1998" s="40"/>
    </row>
    <row r="1999" spans="1:1" x14ac:dyDescent="0.25">
      <c r="A1999" s="40"/>
    </row>
    <row r="2000" spans="1:1" x14ac:dyDescent="0.25">
      <c r="A2000" s="40"/>
    </row>
    <row r="2001" spans="1:1" x14ac:dyDescent="0.25">
      <c r="A2001" s="40"/>
    </row>
    <row r="2002" spans="1:1" x14ac:dyDescent="0.25">
      <c r="A2002" s="40"/>
    </row>
    <row r="2003" spans="1:1" x14ac:dyDescent="0.25">
      <c r="A2003" s="40"/>
    </row>
    <row r="2004" spans="1:1" x14ac:dyDescent="0.25">
      <c r="A2004" s="40"/>
    </row>
    <row r="2005" spans="1:1" x14ac:dyDescent="0.25">
      <c r="A2005" s="40"/>
    </row>
    <row r="2006" spans="1:1" x14ac:dyDescent="0.25">
      <c r="A2006" s="40"/>
    </row>
    <row r="2007" spans="1:1" x14ac:dyDescent="0.25">
      <c r="A2007" s="40"/>
    </row>
    <row r="2008" spans="1:1" x14ac:dyDescent="0.25">
      <c r="A2008" s="40"/>
    </row>
    <row r="2009" spans="1:1" x14ac:dyDescent="0.25">
      <c r="A2009" s="40"/>
    </row>
    <row r="2010" spans="1:1" x14ac:dyDescent="0.25">
      <c r="A2010" s="40"/>
    </row>
    <row r="2011" spans="1:1" x14ac:dyDescent="0.25">
      <c r="A2011" s="40"/>
    </row>
    <row r="2012" spans="1:1" x14ac:dyDescent="0.25">
      <c r="A2012" s="40"/>
    </row>
    <row r="2013" spans="1:1" x14ac:dyDescent="0.25">
      <c r="A2013" s="40"/>
    </row>
    <row r="2014" spans="1:1" x14ac:dyDescent="0.25">
      <c r="A2014" s="40"/>
    </row>
    <row r="2015" spans="1:1" x14ac:dyDescent="0.25">
      <c r="A2015" s="40"/>
    </row>
    <row r="2016" spans="1:1" x14ac:dyDescent="0.25">
      <c r="A2016" s="40"/>
    </row>
    <row r="2017" spans="1:1" x14ac:dyDescent="0.25">
      <c r="A2017" s="40"/>
    </row>
    <row r="2018" spans="1:1" x14ac:dyDescent="0.25">
      <c r="A2018" s="40"/>
    </row>
    <row r="2019" spans="1:1" x14ac:dyDescent="0.25">
      <c r="A2019" s="40"/>
    </row>
    <row r="2020" spans="1:1" x14ac:dyDescent="0.25">
      <c r="A2020" s="40"/>
    </row>
    <row r="2021" spans="1:1" x14ac:dyDescent="0.25">
      <c r="A2021" s="40"/>
    </row>
    <row r="2022" spans="1:1" x14ac:dyDescent="0.25">
      <c r="A2022" s="40"/>
    </row>
    <row r="2023" spans="1:1" x14ac:dyDescent="0.25">
      <c r="A2023" s="40"/>
    </row>
    <row r="2024" spans="1:1" x14ac:dyDescent="0.25">
      <c r="A2024" s="40"/>
    </row>
    <row r="2025" spans="1:1" x14ac:dyDescent="0.25">
      <c r="A2025" s="40"/>
    </row>
    <row r="2026" spans="1:1" x14ac:dyDescent="0.25">
      <c r="A2026" s="40"/>
    </row>
    <row r="2027" spans="1:1" x14ac:dyDescent="0.25">
      <c r="A2027" s="40"/>
    </row>
    <row r="2028" spans="1:1" x14ac:dyDescent="0.25">
      <c r="A2028" s="40"/>
    </row>
    <row r="2029" spans="1:1" x14ac:dyDescent="0.25">
      <c r="A2029" s="40"/>
    </row>
    <row r="2030" spans="1:1" x14ac:dyDescent="0.25">
      <c r="A2030" s="40"/>
    </row>
    <row r="2031" spans="1:1" x14ac:dyDescent="0.25">
      <c r="A2031" s="40"/>
    </row>
    <row r="2032" spans="1:1" x14ac:dyDescent="0.25">
      <c r="A2032" s="40"/>
    </row>
    <row r="2033" spans="1:1" x14ac:dyDescent="0.25">
      <c r="A2033" s="40"/>
    </row>
    <row r="2034" spans="1:1" x14ac:dyDescent="0.25">
      <c r="A2034" s="40"/>
    </row>
    <row r="2035" spans="1:1" x14ac:dyDescent="0.25">
      <c r="A2035" s="40"/>
    </row>
    <row r="2036" spans="1:1" x14ac:dyDescent="0.25">
      <c r="A2036" s="40"/>
    </row>
    <row r="2037" spans="1:1" x14ac:dyDescent="0.25">
      <c r="A2037" s="40"/>
    </row>
    <row r="2038" spans="1:1" x14ac:dyDescent="0.25">
      <c r="A2038" s="40"/>
    </row>
    <row r="2039" spans="1:1" x14ac:dyDescent="0.25">
      <c r="A2039" s="40"/>
    </row>
    <row r="2040" spans="1:1" x14ac:dyDescent="0.25">
      <c r="A2040" s="40"/>
    </row>
    <row r="2041" spans="1:1" x14ac:dyDescent="0.25">
      <c r="A2041" s="40"/>
    </row>
    <row r="2042" spans="1:1" x14ac:dyDescent="0.25">
      <c r="A2042" s="40"/>
    </row>
    <row r="2043" spans="1:1" x14ac:dyDescent="0.25">
      <c r="A2043" s="40"/>
    </row>
    <row r="2044" spans="1:1" x14ac:dyDescent="0.25">
      <c r="A2044" s="40"/>
    </row>
    <row r="2045" spans="1:1" x14ac:dyDescent="0.25">
      <c r="A2045" s="40"/>
    </row>
    <row r="2046" spans="1:1" x14ac:dyDescent="0.25">
      <c r="A2046" s="40"/>
    </row>
    <row r="2047" spans="1:1" x14ac:dyDescent="0.25">
      <c r="A2047" s="40"/>
    </row>
    <row r="2048" spans="1:1" x14ac:dyDescent="0.25">
      <c r="A2048" s="40"/>
    </row>
    <row r="2049" spans="1:1" x14ac:dyDescent="0.25">
      <c r="A2049" s="40"/>
    </row>
    <row r="2050" spans="1:1" x14ac:dyDescent="0.25">
      <c r="A2050" s="40"/>
    </row>
    <row r="2051" spans="1:1" x14ac:dyDescent="0.25">
      <c r="A2051" s="40"/>
    </row>
    <row r="2052" spans="1:1" x14ac:dyDescent="0.25">
      <c r="A2052" s="40"/>
    </row>
    <row r="2053" spans="1:1" x14ac:dyDescent="0.25">
      <c r="A2053" s="40"/>
    </row>
    <row r="2054" spans="1:1" x14ac:dyDescent="0.25">
      <c r="A2054" s="40"/>
    </row>
    <row r="2055" spans="1:1" x14ac:dyDescent="0.25">
      <c r="A2055" s="40"/>
    </row>
    <row r="2056" spans="1:1" x14ac:dyDescent="0.25">
      <c r="A2056" s="40"/>
    </row>
    <row r="2057" spans="1:1" x14ac:dyDescent="0.25">
      <c r="A2057" s="40"/>
    </row>
    <row r="2058" spans="1:1" x14ac:dyDescent="0.25">
      <c r="A2058" s="40"/>
    </row>
    <row r="2059" spans="1:1" x14ac:dyDescent="0.25">
      <c r="A2059" s="40"/>
    </row>
    <row r="2060" spans="1:1" x14ac:dyDescent="0.25">
      <c r="A2060" s="40"/>
    </row>
    <row r="2061" spans="1:1" x14ac:dyDescent="0.25">
      <c r="A2061" s="40"/>
    </row>
    <row r="2062" spans="1:1" x14ac:dyDescent="0.25">
      <c r="A2062" s="40"/>
    </row>
    <row r="2063" spans="1:1" x14ac:dyDescent="0.25">
      <c r="A2063" s="40"/>
    </row>
    <row r="2064" spans="1:1" x14ac:dyDescent="0.25">
      <c r="A2064" s="40"/>
    </row>
    <row r="2065" spans="1:1" x14ac:dyDescent="0.25">
      <c r="A2065" s="40"/>
    </row>
    <row r="2066" spans="1:1" x14ac:dyDescent="0.25">
      <c r="A2066" s="40"/>
    </row>
    <row r="2067" spans="1:1" x14ac:dyDescent="0.25">
      <c r="A2067" s="40"/>
    </row>
    <row r="2068" spans="1:1" x14ac:dyDescent="0.25">
      <c r="A2068" s="40"/>
    </row>
    <row r="2069" spans="1:1" x14ac:dyDescent="0.25">
      <c r="A2069" s="40"/>
    </row>
    <row r="2070" spans="1:1" x14ac:dyDescent="0.25">
      <c r="A2070" s="40"/>
    </row>
    <row r="2071" spans="1:1" x14ac:dyDescent="0.25">
      <c r="A2071" s="40"/>
    </row>
    <row r="2072" spans="1:1" x14ac:dyDescent="0.25">
      <c r="A2072" s="40"/>
    </row>
    <row r="2073" spans="1:1" x14ac:dyDescent="0.25">
      <c r="A2073" s="40"/>
    </row>
    <row r="2074" spans="1:1" x14ac:dyDescent="0.25">
      <c r="A2074" s="40"/>
    </row>
    <row r="2075" spans="1:1" x14ac:dyDescent="0.25">
      <c r="A2075" s="40"/>
    </row>
    <row r="2076" spans="1:1" x14ac:dyDescent="0.25">
      <c r="A2076" s="40"/>
    </row>
    <row r="2077" spans="1:1" x14ac:dyDescent="0.25">
      <c r="A2077" s="40"/>
    </row>
    <row r="2078" spans="1:1" x14ac:dyDescent="0.25">
      <c r="A2078" s="40"/>
    </row>
    <row r="2079" spans="1:1" x14ac:dyDescent="0.25">
      <c r="A2079" s="40"/>
    </row>
    <row r="2080" spans="1:1" x14ac:dyDescent="0.25">
      <c r="A2080" s="40"/>
    </row>
    <row r="2081" spans="1:1" x14ac:dyDescent="0.25">
      <c r="A2081" s="40"/>
    </row>
    <row r="2082" spans="1:1" x14ac:dyDescent="0.25">
      <c r="A2082" s="40"/>
    </row>
    <row r="2083" spans="1:1" x14ac:dyDescent="0.25">
      <c r="A2083" s="40"/>
    </row>
    <row r="2084" spans="1:1" x14ac:dyDescent="0.25">
      <c r="A2084" s="40"/>
    </row>
    <row r="2085" spans="1:1" x14ac:dyDescent="0.25">
      <c r="A2085" s="40"/>
    </row>
    <row r="2086" spans="1:1" x14ac:dyDescent="0.25">
      <c r="A2086" s="40"/>
    </row>
    <row r="2087" spans="1:1" x14ac:dyDescent="0.25">
      <c r="A2087" s="40"/>
    </row>
    <row r="2088" spans="1:1" x14ac:dyDescent="0.25">
      <c r="A2088" s="40"/>
    </row>
    <row r="2089" spans="1:1" x14ac:dyDescent="0.25">
      <c r="A2089" s="40"/>
    </row>
    <row r="2090" spans="1:1" x14ac:dyDescent="0.25">
      <c r="A2090" s="40"/>
    </row>
    <row r="2091" spans="1:1" x14ac:dyDescent="0.25">
      <c r="A2091" s="40"/>
    </row>
    <row r="2092" spans="1:1" x14ac:dyDescent="0.25">
      <c r="A2092" s="40"/>
    </row>
    <row r="2093" spans="1:1" x14ac:dyDescent="0.25">
      <c r="A2093" s="40"/>
    </row>
    <row r="2094" spans="1:1" x14ac:dyDescent="0.25">
      <c r="A2094" s="40"/>
    </row>
    <row r="2095" spans="1:1" x14ac:dyDescent="0.25">
      <c r="A2095" s="40"/>
    </row>
    <row r="2096" spans="1:1" x14ac:dyDescent="0.25">
      <c r="A2096" s="40"/>
    </row>
    <row r="2097" spans="1:1" x14ac:dyDescent="0.25">
      <c r="A2097" s="40"/>
    </row>
    <row r="2098" spans="1:1" x14ac:dyDescent="0.25">
      <c r="A2098" s="40"/>
    </row>
    <row r="2099" spans="1:1" x14ac:dyDescent="0.25">
      <c r="A2099" s="40"/>
    </row>
    <row r="2100" spans="1:1" x14ac:dyDescent="0.25">
      <c r="A2100" s="40"/>
    </row>
    <row r="2101" spans="1:1" x14ac:dyDescent="0.25">
      <c r="A2101" s="40"/>
    </row>
    <row r="2102" spans="1:1" x14ac:dyDescent="0.25">
      <c r="A2102" s="40"/>
    </row>
    <row r="2103" spans="1:1" x14ac:dyDescent="0.25">
      <c r="A2103" s="40"/>
    </row>
    <row r="2104" spans="1:1" x14ac:dyDescent="0.25">
      <c r="A2104" s="40"/>
    </row>
    <row r="2105" spans="1:1" x14ac:dyDescent="0.25">
      <c r="A2105" s="40"/>
    </row>
    <row r="2106" spans="1:1" x14ac:dyDescent="0.25">
      <c r="A2106" s="40"/>
    </row>
    <row r="2107" spans="1:1" x14ac:dyDescent="0.25">
      <c r="A2107" s="40"/>
    </row>
    <row r="2108" spans="1:1" x14ac:dyDescent="0.25">
      <c r="A2108" s="40"/>
    </row>
    <row r="2109" spans="1:1" x14ac:dyDescent="0.25">
      <c r="A2109" s="40"/>
    </row>
    <row r="2110" spans="1:1" x14ac:dyDescent="0.25">
      <c r="A2110" s="40"/>
    </row>
    <row r="2111" spans="1:1" x14ac:dyDescent="0.25">
      <c r="A2111" s="40"/>
    </row>
    <row r="2112" spans="1:1" x14ac:dyDescent="0.25">
      <c r="A2112" s="40"/>
    </row>
    <row r="2113" spans="1:1" x14ac:dyDescent="0.25">
      <c r="A2113" s="40"/>
    </row>
    <row r="2114" spans="1:1" x14ac:dyDescent="0.25">
      <c r="A2114" s="40"/>
    </row>
    <row r="2115" spans="1:1" x14ac:dyDescent="0.25">
      <c r="A2115" s="40"/>
    </row>
    <row r="2116" spans="1:1" x14ac:dyDescent="0.25">
      <c r="A2116" s="40"/>
    </row>
    <row r="2117" spans="1:1" x14ac:dyDescent="0.25">
      <c r="A2117" s="40"/>
    </row>
    <row r="2118" spans="1:1" x14ac:dyDescent="0.25">
      <c r="A2118" s="40"/>
    </row>
    <row r="2119" spans="1:1" x14ac:dyDescent="0.25">
      <c r="A2119" s="40"/>
    </row>
    <row r="2120" spans="1:1" x14ac:dyDescent="0.25">
      <c r="A2120" s="40"/>
    </row>
    <row r="2121" spans="1:1" x14ac:dyDescent="0.25">
      <c r="A2121" s="40"/>
    </row>
    <row r="2122" spans="1:1" x14ac:dyDescent="0.25">
      <c r="A2122" s="40"/>
    </row>
    <row r="2123" spans="1:1" x14ac:dyDescent="0.25">
      <c r="A2123" s="40"/>
    </row>
    <row r="2124" spans="1:1" x14ac:dyDescent="0.25">
      <c r="A2124" s="40"/>
    </row>
    <row r="2125" spans="1:1" x14ac:dyDescent="0.25">
      <c r="A2125" s="40"/>
    </row>
    <row r="2126" spans="1:1" x14ac:dyDescent="0.25">
      <c r="A2126" s="40"/>
    </row>
    <row r="2127" spans="1:1" x14ac:dyDescent="0.25">
      <c r="A2127" s="40"/>
    </row>
    <row r="2128" spans="1:1" x14ac:dyDescent="0.25">
      <c r="A2128" s="40"/>
    </row>
    <row r="2129" spans="1:1" x14ac:dyDescent="0.25">
      <c r="A2129" s="40"/>
    </row>
    <row r="2130" spans="1:1" x14ac:dyDescent="0.25">
      <c r="A2130" s="40"/>
    </row>
    <row r="2131" spans="1:1" x14ac:dyDescent="0.25">
      <c r="A2131" s="40"/>
    </row>
    <row r="2132" spans="1:1" x14ac:dyDescent="0.25">
      <c r="A2132" s="40"/>
    </row>
    <row r="2133" spans="1:1" x14ac:dyDescent="0.25">
      <c r="A2133" s="40"/>
    </row>
    <row r="2134" spans="1:1" x14ac:dyDescent="0.25">
      <c r="A2134" s="40"/>
    </row>
    <row r="2135" spans="1:1" x14ac:dyDescent="0.25">
      <c r="A2135" s="40"/>
    </row>
    <row r="2136" spans="1:1" x14ac:dyDescent="0.25">
      <c r="A2136" s="40"/>
    </row>
    <row r="2137" spans="1:1" x14ac:dyDescent="0.25">
      <c r="A2137" s="40"/>
    </row>
    <row r="2138" spans="1:1" x14ac:dyDescent="0.25">
      <c r="A2138" s="40"/>
    </row>
    <row r="2139" spans="1:1" x14ac:dyDescent="0.25">
      <c r="A2139" s="40"/>
    </row>
    <row r="2140" spans="1:1" x14ac:dyDescent="0.25">
      <c r="A2140" s="40"/>
    </row>
    <row r="2141" spans="1:1" x14ac:dyDescent="0.25">
      <c r="A2141" s="40"/>
    </row>
    <row r="2142" spans="1:1" x14ac:dyDescent="0.25">
      <c r="A2142" s="40"/>
    </row>
    <row r="2143" spans="1:1" x14ac:dyDescent="0.25">
      <c r="A2143" s="40"/>
    </row>
    <row r="2144" spans="1:1" x14ac:dyDescent="0.25">
      <c r="A2144" s="40"/>
    </row>
    <row r="2145" spans="1:1" x14ac:dyDescent="0.25">
      <c r="A2145" s="40"/>
    </row>
    <row r="2146" spans="1:1" x14ac:dyDescent="0.25">
      <c r="A2146" s="40"/>
    </row>
    <row r="2147" spans="1:1" x14ac:dyDescent="0.25">
      <c r="A2147" s="40"/>
    </row>
    <row r="2148" spans="1:1" x14ac:dyDescent="0.25">
      <c r="A2148" s="40"/>
    </row>
    <row r="2149" spans="1:1" x14ac:dyDescent="0.25">
      <c r="A2149" s="40"/>
    </row>
    <row r="2150" spans="1:1" x14ac:dyDescent="0.25">
      <c r="A2150" s="40"/>
    </row>
    <row r="2151" spans="1:1" x14ac:dyDescent="0.25">
      <c r="A2151" s="40"/>
    </row>
    <row r="2152" spans="1:1" x14ac:dyDescent="0.25">
      <c r="A2152" s="40"/>
    </row>
    <row r="2153" spans="1:1" x14ac:dyDescent="0.25">
      <c r="A2153" s="40"/>
    </row>
    <row r="2154" spans="1:1" x14ac:dyDescent="0.25">
      <c r="A2154" s="40"/>
    </row>
    <row r="2155" spans="1:1" x14ac:dyDescent="0.25">
      <c r="A2155" s="40"/>
    </row>
    <row r="2156" spans="1:1" x14ac:dyDescent="0.25">
      <c r="A2156" s="40"/>
    </row>
    <row r="2157" spans="1:1" x14ac:dyDescent="0.25">
      <c r="A2157" s="40"/>
    </row>
    <row r="2158" spans="1:1" x14ac:dyDescent="0.25">
      <c r="A2158" s="40"/>
    </row>
    <row r="2159" spans="1:1" x14ac:dyDescent="0.25">
      <c r="A2159" s="40"/>
    </row>
    <row r="2160" spans="1:1" x14ac:dyDescent="0.25">
      <c r="A2160" s="40"/>
    </row>
    <row r="2161" spans="1:1" x14ac:dyDescent="0.25">
      <c r="A2161" s="40"/>
    </row>
    <row r="2162" spans="1:1" x14ac:dyDescent="0.25">
      <c r="A2162" s="40"/>
    </row>
    <row r="2163" spans="1:1" x14ac:dyDescent="0.25">
      <c r="A2163" s="40"/>
    </row>
    <row r="2164" spans="1:1" x14ac:dyDescent="0.25">
      <c r="A2164" s="40"/>
    </row>
    <row r="2165" spans="1:1" x14ac:dyDescent="0.25">
      <c r="A2165" s="40"/>
    </row>
    <row r="2166" spans="1:1" x14ac:dyDescent="0.25">
      <c r="A2166" s="40"/>
    </row>
    <row r="2167" spans="1:1" x14ac:dyDescent="0.25">
      <c r="A2167" s="40"/>
    </row>
    <row r="2168" spans="1:1" x14ac:dyDescent="0.25">
      <c r="A2168" s="40"/>
    </row>
    <row r="2169" spans="1:1" x14ac:dyDescent="0.25">
      <c r="A2169" s="40"/>
    </row>
    <row r="2170" spans="1:1" x14ac:dyDescent="0.25">
      <c r="A2170" s="40"/>
    </row>
    <row r="2171" spans="1:1" x14ac:dyDescent="0.25">
      <c r="A2171" s="40"/>
    </row>
    <row r="2172" spans="1:1" x14ac:dyDescent="0.25">
      <c r="A2172" s="40"/>
    </row>
    <row r="2173" spans="1:1" x14ac:dyDescent="0.25">
      <c r="A2173" s="40"/>
    </row>
    <row r="2174" spans="1:1" x14ac:dyDescent="0.25">
      <c r="A2174" s="40"/>
    </row>
    <row r="2175" spans="1:1" x14ac:dyDescent="0.25">
      <c r="A2175" s="40"/>
    </row>
    <row r="2176" spans="1:1" x14ac:dyDescent="0.25">
      <c r="A2176" s="40"/>
    </row>
    <row r="2177" spans="1:1" x14ac:dyDescent="0.25">
      <c r="A2177" s="40"/>
    </row>
    <row r="2178" spans="1:1" x14ac:dyDescent="0.25">
      <c r="A2178" s="40"/>
    </row>
    <row r="2179" spans="1:1" x14ac:dyDescent="0.25">
      <c r="A2179" s="40"/>
    </row>
    <row r="2180" spans="1:1" x14ac:dyDescent="0.25">
      <c r="A2180" s="40"/>
    </row>
    <row r="2181" spans="1:1" x14ac:dyDescent="0.25">
      <c r="A2181" s="40"/>
    </row>
    <row r="2182" spans="1:1" x14ac:dyDescent="0.25">
      <c r="A2182" s="40"/>
    </row>
    <row r="2183" spans="1:1" x14ac:dyDescent="0.25">
      <c r="A2183" s="40"/>
    </row>
    <row r="2184" spans="1:1" x14ac:dyDescent="0.25">
      <c r="A2184" s="40"/>
    </row>
    <row r="2185" spans="1:1" x14ac:dyDescent="0.25">
      <c r="A2185" s="40"/>
    </row>
    <row r="2186" spans="1:1" x14ac:dyDescent="0.25">
      <c r="A2186" s="40"/>
    </row>
    <row r="2187" spans="1:1" x14ac:dyDescent="0.25">
      <c r="A2187" s="40"/>
    </row>
    <row r="2188" spans="1:1" x14ac:dyDescent="0.25">
      <c r="A2188" s="40"/>
    </row>
    <row r="2189" spans="1:1" x14ac:dyDescent="0.25">
      <c r="A2189" s="40"/>
    </row>
    <row r="2190" spans="1:1" x14ac:dyDescent="0.25">
      <c r="A2190" s="40"/>
    </row>
    <row r="2191" spans="1:1" x14ac:dyDescent="0.25">
      <c r="A2191" s="40"/>
    </row>
    <row r="2192" spans="1:1" x14ac:dyDescent="0.25">
      <c r="A2192" s="40"/>
    </row>
    <row r="2193" spans="1:1" x14ac:dyDescent="0.25">
      <c r="A2193" s="40"/>
    </row>
    <row r="2194" spans="1:1" x14ac:dyDescent="0.25">
      <c r="A2194" s="40"/>
    </row>
    <row r="2195" spans="1:1" x14ac:dyDescent="0.25">
      <c r="A2195" s="40"/>
    </row>
    <row r="2196" spans="1:1" x14ac:dyDescent="0.25">
      <c r="A2196" s="40"/>
    </row>
    <row r="2197" spans="1:1" x14ac:dyDescent="0.25">
      <c r="A2197" s="40"/>
    </row>
    <row r="2198" spans="1:1" x14ac:dyDescent="0.25">
      <c r="A2198" s="40"/>
    </row>
    <row r="2199" spans="1:1" x14ac:dyDescent="0.25">
      <c r="A2199" s="40"/>
    </row>
    <row r="2200" spans="1:1" x14ac:dyDescent="0.25">
      <c r="A2200" s="40"/>
    </row>
    <row r="2201" spans="1:1" x14ac:dyDescent="0.25">
      <c r="A2201" s="40"/>
    </row>
    <row r="2202" spans="1:1" x14ac:dyDescent="0.25">
      <c r="A2202" s="40"/>
    </row>
    <row r="2203" spans="1:1" x14ac:dyDescent="0.25">
      <c r="A2203" s="40"/>
    </row>
    <row r="2204" spans="1:1" x14ac:dyDescent="0.25">
      <c r="A2204" s="40"/>
    </row>
    <row r="2205" spans="1:1" x14ac:dyDescent="0.25">
      <c r="A2205" s="40"/>
    </row>
    <row r="2206" spans="1:1" x14ac:dyDescent="0.25">
      <c r="A2206" s="40"/>
    </row>
    <row r="2207" spans="1:1" x14ac:dyDescent="0.25">
      <c r="A2207" s="40"/>
    </row>
    <row r="2208" spans="1:1" x14ac:dyDescent="0.25">
      <c r="A2208" s="40"/>
    </row>
    <row r="2209" spans="1:1" x14ac:dyDescent="0.25">
      <c r="A2209" s="40"/>
    </row>
    <row r="2210" spans="1:1" x14ac:dyDescent="0.25">
      <c r="A2210" s="40"/>
    </row>
    <row r="2211" spans="1:1" x14ac:dyDescent="0.25">
      <c r="A2211" s="40"/>
    </row>
    <row r="2212" spans="1:1" x14ac:dyDescent="0.25">
      <c r="A2212" s="40"/>
    </row>
    <row r="2213" spans="1:1" x14ac:dyDescent="0.25">
      <c r="A2213" s="40"/>
    </row>
    <row r="2214" spans="1:1" x14ac:dyDescent="0.25">
      <c r="A2214" s="40"/>
    </row>
    <row r="2215" spans="1:1" x14ac:dyDescent="0.25">
      <c r="A2215" s="40"/>
    </row>
    <row r="2216" spans="1:1" x14ac:dyDescent="0.25">
      <c r="A2216" s="40"/>
    </row>
    <row r="2217" spans="1:1" x14ac:dyDescent="0.25">
      <c r="A2217" s="40"/>
    </row>
    <row r="2218" spans="1:1" x14ac:dyDescent="0.25">
      <c r="A2218" s="40"/>
    </row>
    <row r="2219" spans="1:1" x14ac:dyDescent="0.25">
      <c r="A2219" s="40"/>
    </row>
    <row r="2220" spans="1:1" x14ac:dyDescent="0.25">
      <c r="A2220" s="40"/>
    </row>
    <row r="2221" spans="1:1" x14ac:dyDescent="0.25">
      <c r="A2221" s="40"/>
    </row>
    <row r="2222" spans="1:1" x14ac:dyDescent="0.25">
      <c r="A2222" s="40"/>
    </row>
    <row r="2223" spans="1:1" x14ac:dyDescent="0.25">
      <c r="A2223" s="40"/>
    </row>
    <row r="2224" spans="1:1" x14ac:dyDescent="0.25">
      <c r="A2224" s="40"/>
    </row>
    <row r="2225" spans="1:1" x14ac:dyDescent="0.25">
      <c r="A2225" s="40"/>
    </row>
    <row r="2226" spans="1:1" x14ac:dyDescent="0.25">
      <c r="A2226" s="40"/>
    </row>
    <row r="2227" spans="1:1" x14ac:dyDescent="0.25">
      <c r="A2227" s="40"/>
    </row>
    <row r="2228" spans="1:1" x14ac:dyDescent="0.25">
      <c r="A2228" s="40"/>
    </row>
    <row r="2229" spans="1:1" x14ac:dyDescent="0.25">
      <c r="A2229" s="40"/>
    </row>
    <row r="2230" spans="1:1" x14ac:dyDescent="0.25">
      <c r="A2230" s="40"/>
    </row>
    <row r="2231" spans="1:1" x14ac:dyDescent="0.25">
      <c r="A2231" s="40"/>
    </row>
    <row r="2232" spans="1:1" x14ac:dyDescent="0.25">
      <c r="A2232" s="40"/>
    </row>
    <row r="2233" spans="1:1" x14ac:dyDescent="0.25">
      <c r="A2233" s="40"/>
    </row>
    <row r="2234" spans="1:1" x14ac:dyDescent="0.25">
      <c r="A2234" s="40"/>
    </row>
    <row r="2235" spans="1:1" x14ac:dyDescent="0.25">
      <c r="A2235" s="40"/>
    </row>
    <row r="2236" spans="1:1" x14ac:dyDescent="0.25">
      <c r="A2236" s="40"/>
    </row>
    <row r="2237" spans="1:1" x14ac:dyDescent="0.25">
      <c r="A2237" s="40"/>
    </row>
    <row r="2238" spans="1:1" x14ac:dyDescent="0.25">
      <c r="A2238" s="40"/>
    </row>
    <row r="2239" spans="1:1" x14ac:dyDescent="0.25">
      <c r="A2239" s="40"/>
    </row>
    <row r="2240" spans="1:1" x14ac:dyDescent="0.25">
      <c r="A2240" s="40"/>
    </row>
    <row r="2241" spans="1:1" x14ac:dyDescent="0.25">
      <c r="A2241" s="40"/>
    </row>
    <row r="2242" spans="1:1" x14ac:dyDescent="0.25">
      <c r="A2242" s="40"/>
    </row>
    <row r="2243" spans="1:1" x14ac:dyDescent="0.25">
      <c r="A2243" s="40"/>
    </row>
    <row r="2244" spans="1:1" x14ac:dyDescent="0.25">
      <c r="A2244" s="40"/>
    </row>
    <row r="2245" spans="1:1" x14ac:dyDescent="0.25">
      <c r="A2245" s="40"/>
    </row>
    <row r="2246" spans="1:1" x14ac:dyDescent="0.25">
      <c r="A2246" s="40"/>
    </row>
    <row r="2247" spans="1:1" x14ac:dyDescent="0.25">
      <c r="A2247" s="40"/>
    </row>
    <row r="2248" spans="1:1" x14ac:dyDescent="0.25">
      <c r="A2248" s="40"/>
    </row>
    <row r="2249" spans="1:1" x14ac:dyDescent="0.25">
      <c r="A2249" s="40"/>
    </row>
    <row r="2250" spans="1:1" x14ac:dyDescent="0.25">
      <c r="A2250" s="40"/>
    </row>
    <row r="2251" spans="1:1" x14ac:dyDescent="0.25">
      <c r="A2251" s="40"/>
    </row>
    <row r="2252" spans="1:1" x14ac:dyDescent="0.25">
      <c r="A2252" s="40"/>
    </row>
    <row r="2253" spans="1:1" x14ac:dyDescent="0.25">
      <c r="A2253" s="40"/>
    </row>
    <row r="2254" spans="1:1" x14ac:dyDescent="0.25">
      <c r="A2254" s="40"/>
    </row>
    <row r="2255" spans="1:1" x14ac:dyDescent="0.25">
      <c r="A2255" s="40"/>
    </row>
    <row r="2256" spans="1:1" x14ac:dyDescent="0.25">
      <c r="A2256" s="40"/>
    </row>
    <row r="2257" spans="1:1" x14ac:dyDescent="0.25">
      <c r="A2257" s="40"/>
    </row>
    <row r="2258" spans="1:1" x14ac:dyDescent="0.25">
      <c r="A2258" s="40"/>
    </row>
    <row r="2259" spans="1:1" x14ac:dyDescent="0.25">
      <c r="A2259" s="40"/>
    </row>
    <row r="2260" spans="1:1" x14ac:dyDescent="0.25">
      <c r="A2260" s="40"/>
    </row>
    <row r="2261" spans="1:1" x14ac:dyDescent="0.25">
      <c r="A2261" s="40"/>
    </row>
    <row r="2262" spans="1:1" x14ac:dyDescent="0.25">
      <c r="A2262" s="40"/>
    </row>
    <row r="2263" spans="1:1" x14ac:dyDescent="0.25">
      <c r="A2263" s="40"/>
    </row>
    <row r="2264" spans="1:1" x14ac:dyDescent="0.25">
      <c r="A2264" s="40"/>
    </row>
    <row r="2265" spans="1:1" x14ac:dyDescent="0.25">
      <c r="A2265" s="40"/>
    </row>
    <row r="2266" spans="1:1" x14ac:dyDescent="0.25">
      <c r="A2266" s="40"/>
    </row>
    <row r="2267" spans="1:1" x14ac:dyDescent="0.25">
      <c r="A2267" s="40"/>
    </row>
    <row r="2268" spans="1:1" x14ac:dyDescent="0.25">
      <c r="A2268" s="40"/>
    </row>
    <row r="2269" spans="1:1" x14ac:dyDescent="0.25">
      <c r="A2269" s="40"/>
    </row>
    <row r="2270" spans="1:1" x14ac:dyDescent="0.25">
      <c r="A2270" s="40"/>
    </row>
    <row r="2271" spans="1:1" x14ac:dyDescent="0.25">
      <c r="A2271" s="40"/>
    </row>
    <row r="2272" spans="1:1" x14ac:dyDescent="0.25">
      <c r="A2272" s="40"/>
    </row>
    <row r="2273" spans="1:1" x14ac:dyDescent="0.25">
      <c r="A2273" s="40"/>
    </row>
    <row r="2274" spans="1:1" x14ac:dyDescent="0.25">
      <c r="A2274" s="40"/>
    </row>
    <row r="2275" spans="1:1" x14ac:dyDescent="0.25">
      <c r="A2275" s="40"/>
    </row>
    <row r="2276" spans="1:1" x14ac:dyDescent="0.25">
      <c r="A2276" s="40"/>
    </row>
    <row r="2277" spans="1:1" x14ac:dyDescent="0.25">
      <c r="A2277" s="40"/>
    </row>
    <row r="2278" spans="1:1" x14ac:dyDescent="0.25">
      <c r="A2278" s="40"/>
    </row>
    <row r="2279" spans="1:1" x14ac:dyDescent="0.25">
      <c r="A2279" s="40"/>
    </row>
    <row r="2280" spans="1:1" x14ac:dyDescent="0.25">
      <c r="A2280" s="40"/>
    </row>
    <row r="2281" spans="1:1" x14ac:dyDescent="0.25">
      <c r="A2281" s="40"/>
    </row>
    <row r="2282" spans="1:1" x14ac:dyDescent="0.25">
      <c r="A2282" s="40"/>
    </row>
    <row r="2283" spans="1:1" x14ac:dyDescent="0.25">
      <c r="A2283" s="40"/>
    </row>
    <row r="2284" spans="1:1" x14ac:dyDescent="0.25">
      <c r="A2284" s="40"/>
    </row>
    <row r="2285" spans="1:1" x14ac:dyDescent="0.25">
      <c r="A2285" s="40"/>
    </row>
    <row r="2286" spans="1:1" x14ac:dyDescent="0.25">
      <c r="A2286" s="40"/>
    </row>
    <row r="2287" spans="1:1" x14ac:dyDescent="0.25">
      <c r="A2287" s="40"/>
    </row>
    <row r="2288" spans="1:1" x14ac:dyDescent="0.25">
      <c r="A2288" s="40"/>
    </row>
    <row r="2289" spans="1:1" x14ac:dyDescent="0.25">
      <c r="A2289" s="40"/>
    </row>
    <row r="2290" spans="1:1" x14ac:dyDescent="0.25">
      <c r="A2290" s="40"/>
    </row>
    <row r="2291" spans="1:1" x14ac:dyDescent="0.25">
      <c r="A2291" s="40"/>
    </row>
    <row r="2292" spans="1:1" x14ac:dyDescent="0.25">
      <c r="A2292" s="40"/>
    </row>
    <row r="2293" spans="1:1" x14ac:dyDescent="0.25">
      <c r="A2293" s="40"/>
    </row>
    <row r="2294" spans="1:1" x14ac:dyDescent="0.25">
      <c r="A2294" s="40"/>
    </row>
    <row r="2295" spans="1:1" x14ac:dyDescent="0.25">
      <c r="A2295" s="40"/>
    </row>
    <row r="2296" spans="1:1" x14ac:dyDescent="0.25">
      <c r="A2296" s="40"/>
    </row>
    <row r="2297" spans="1:1" x14ac:dyDescent="0.25">
      <c r="A2297" s="40"/>
    </row>
    <row r="2298" spans="1:1" x14ac:dyDescent="0.25">
      <c r="A2298" s="40"/>
    </row>
    <row r="2299" spans="1:1" x14ac:dyDescent="0.25">
      <c r="A2299" s="40"/>
    </row>
    <row r="2300" spans="1:1" x14ac:dyDescent="0.25">
      <c r="A2300" s="40"/>
    </row>
    <row r="2301" spans="1:1" x14ac:dyDescent="0.25">
      <c r="A2301" s="40"/>
    </row>
    <row r="2302" spans="1:1" x14ac:dyDescent="0.25">
      <c r="A2302" s="40"/>
    </row>
    <row r="2303" spans="1:1" x14ac:dyDescent="0.25">
      <c r="A2303" s="40"/>
    </row>
    <row r="2304" spans="1:1" x14ac:dyDescent="0.25">
      <c r="A2304" s="40"/>
    </row>
    <row r="2305" spans="1:1" x14ac:dyDescent="0.25">
      <c r="A2305" s="40"/>
    </row>
    <row r="2306" spans="1:1" x14ac:dyDescent="0.25">
      <c r="A2306" s="40"/>
    </row>
    <row r="2307" spans="1:1" x14ac:dyDescent="0.25">
      <c r="A2307" s="40"/>
    </row>
    <row r="2308" spans="1:1" x14ac:dyDescent="0.25">
      <c r="A2308" s="40"/>
    </row>
    <row r="2309" spans="1:1" x14ac:dyDescent="0.25">
      <c r="A2309" s="40"/>
    </row>
    <row r="2310" spans="1:1" x14ac:dyDescent="0.25">
      <c r="A2310" s="40"/>
    </row>
    <row r="2311" spans="1:1" x14ac:dyDescent="0.25">
      <c r="A2311" s="40"/>
    </row>
    <row r="2312" spans="1:1" x14ac:dyDescent="0.25">
      <c r="A2312" s="40"/>
    </row>
    <row r="2313" spans="1:1" x14ac:dyDescent="0.25">
      <c r="A2313" s="40"/>
    </row>
    <row r="2314" spans="1:1" x14ac:dyDescent="0.25">
      <c r="A2314" s="40"/>
    </row>
    <row r="2315" spans="1:1" x14ac:dyDescent="0.25">
      <c r="A2315" s="40"/>
    </row>
    <row r="2316" spans="1:1" x14ac:dyDescent="0.25">
      <c r="A2316" s="40"/>
    </row>
    <row r="2317" spans="1:1" x14ac:dyDescent="0.25">
      <c r="A2317" s="40"/>
    </row>
    <row r="2318" spans="1:1" x14ac:dyDescent="0.25">
      <c r="A2318" s="40"/>
    </row>
    <row r="2319" spans="1:1" x14ac:dyDescent="0.25">
      <c r="A2319" s="40"/>
    </row>
    <row r="2320" spans="1:1" x14ac:dyDescent="0.25">
      <c r="A2320" s="40"/>
    </row>
    <row r="2321" spans="1:1" x14ac:dyDescent="0.25">
      <c r="A2321" s="40"/>
    </row>
    <row r="2322" spans="1:1" x14ac:dyDescent="0.25">
      <c r="A2322" s="40"/>
    </row>
    <row r="2323" spans="1:1" x14ac:dyDescent="0.25">
      <c r="A2323" s="40"/>
    </row>
    <row r="2324" spans="1:1" x14ac:dyDescent="0.25">
      <c r="A2324" s="40"/>
    </row>
    <row r="2325" spans="1:1" x14ac:dyDescent="0.25">
      <c r="A2325" s="40"/>
    </row>
    <row r="2326" spans="1:1" x14ac:dyDescent="0.25">
      <c r="A2326" s="40"/>
    </row>
    <row r="2327" spans="1:1" x14ac:dyDescent="0.25">
      <c r="A2327" s="40"/>
    </row>
    <row r="2328" spans="1:1" x14ac:dyDescent="0.25">
      <c r="A2328" s="40"/>
    </row>
    <row r="2329" spans="1:1" x14ac:dyDescent="0.25">
      <c r="A2329" s="40"/>
    </row>
    <row r="2330" spans="1:1" x14ac:dyDescent="0.25">
      <c r="A2330" s="40"/>
    </row>
    <row r="2331" spans="1:1" x14ac:dyDescent="0.25">
      <c r="A2331" s="40"/>
    </row>
    <row r="2332" spans="1:1" x14ac:dyDescent="0.25">
      <c r="A2332" s="40"/>
    </row>
    <row r="2333" spans="1:1" x14ac:dyDescent="0.25">
      <c r="A2333" s="40"/>
    </row>
    <row r="2334" spans="1:1" x14ac:dyDescent="0.25">
      <c r="A2334" s="40"/>
    </row>
    <row r="2335" spans="1:1" x14ac:dyDescent="0.25">
      <c r="A2335" s="40"/>
    </row>
    <row r="2336" spans="1:1" x14ac:dyDescent="0.25">
      <c r="A2336" s="40"/>
    </row>
    <row r="2337" spans="1:1" x14ac:dyDescent="0.25">
      <c r="A2337" s="40"/>
    </row>
    <row r="2338" spans="1:1" x14ac:dyDescent="0.25">
      <c r="A2338" s="40"/>
    </row>
    <row r="2339" spans="1:1" x14ac:dyDescent="0.25">
      <c r="A2339" s="40"/>
    </row>
    <row r="2340" spans="1:1" x14ac:dyDescent="0.25">
      <c r="A2340" s="40"/>
    </row>
    <row r="2341" spans="1:1" x14ac:dyDescent="0.25">
      <c r="A2341" s="40"/>
    </row>
    <row r="2342" spans="1:1" x14ac:dyDescent="0.25">
      <c r="A2342" s="40"/>
    </row>
    <row r="2343" spans="1:1" x14ac:dyDescent="0.25">
      <c r="A2343" s="40"/>
    </row>
    <row r="2344" spans="1:1" x14ac:dyDescent="0.25">
      <c r="A2344" s="40"/>
    </row>
    <row r="2345" spans="1:1" x14ac:dyDescent="0.25">
      <c r="A2345" s="40"/>
    </row>
    <row r="2346" spans="1:1" x14ac:dyDescent="0.25">
      <c r="A2346" s="40"/>
    </row>
    <row r="2347" spans="1:1" x14ac:dyDescent="0.25">
      <c r="A2347" s="40"/>
    </row>
    <row r="2348" spans="1:1" x14ac:dyDescent="0.25">
      <c r="A2348" s="40"/>
    </row>
    <row r="2349" spans="1:1" x14ac:dyDescent="0.25">
      <c r="A2349" s="40"/>
    </row>
    <row r="2350" spans="1:1" x14ac:dyDescent="0.25">
      <c r="A2350" s="40"/>
    </row>
    <row r="2351" spans="1:1" x14ac:dyDescent="0.25">
      <c r="A2351" s="40"/>
    </row>
    <row r="2352" spans="1:1" x14ac:dyDescent="0.25">
      <c r="A2352" s="40"/>
    </row>
    <row r="2353" spans="1:1" x14ac:dyDescent="0.25">
      <c r="A2353" s="40"/>
    </row>
    <row r="2354" spans="1:1" x14ac:dyDescent="0.25">
      <c r="A2354" s="40"/>
    </row>
    <row r="2355" spans="1:1" x14ac:dyDescent="0.25">
      <c r="A2355" s="40"/>
    </row>
    <row r="2356" spans="1:1" x14ac:dyDescent="0.25">
      <c r="A2356" s="40"/>
    </row>
    <row r="2357" spans="1:1" x14ac:dyDescent="0.25">
      <c r="A2357" s="40"/>
    </row>
    <row r="2358" spans="1:1" x14ac:dyDescent="0.25">
      <c r="A2358" s="40"/>
    </row>
    <row r="2359" spans="1:1" x14ac:dyDescent="0.25">
      <c r="A2359" s="40"/>
    </row>
    <row r="2360" spans="1:1" x14ac:dyDescent="0.25">
      <c r="A2360" s="40"/>
    </row>
    <row r="2361" spans="1:1" x14ac:dyDescent="0.25">
      <c r="A2361" s="40"/>
    </row>
    <row r="2362" spans="1:1" x14ac:dyDescent="0.25">
      <c r="A2362" s="40"/>
    </row>
    <row r="2363" spans="1:1" x14ac:dyDescent="0.25">
      <c r="A2363" s="40"/>
    </row>
    <row r="2364" spans="1:1" x14ac:dyDescent="0.25">
      <c r="A2364" s="40"/>
    </row>
    <row r="2365" spans="1:1" x14ac:dyDescent="0.25">
      <c r="A2365" s="40"/>
    </row>
    <row r="2366" spans="1:1" x14ac:dyDescent="0.25">
      <c r="A2366" s="40"/>
    </row>
    <row r="2367" spans="1:1" x14ac:dyDescent="0.25">
      <c r="A2367" s="40"/>
    </row>
    <row r="2368" spans="1:1" x14ac:dyDescent="0.25">
      <c r="A2368" s="40"/>
    </row>
    <row r="2369" spans="1:1" x14ac:dyDescent="0.25">
      <c r="A2369" s="40"/>
    </row>
    <row r="2370" spans="1:1" x14ac:dyDescent="0.25">
      <c r="A2370" s="40"/>
    </row>
    <row r="2371" spans="1:1" x14ac:dyDescent="0.25">
      <c r="A2371" s="40"/>
    </row>
    <row r="2372" spans="1:1" x14ac:dyDescent="0.25">
      <c r="A2372" s="40"/>
    </row>
    <row r="2373" spans="1:1" x14ac:dyDescent="0.25">
      <c r="A2373" s="40"/>
    </row>
    <row r="2374" spans="1:1" x14ac:dyDescent="0.25">
      <c r="A2374" s="40"/>
    </row>
    <row r="2375" spans="1:1" x14ac:dyDescent="0.25">
      <c r="A2375" s="40"/>
    </row>
    <row r="2376" spans="1:1" x14ac:dyDescent="0.25">
      <c r="A2376" s="40"/>
    </row>
    <row r="2377" spans="1:1" x14ac:dyDescent="0.25">
      <c r="A2377" s="40"/>
    </row>
    <row r="2378" spans="1:1" x14ac:dyDescent="0.25">
      <c r="A2378" s="40"/>
    </row>
    <row r="2379" spans="1:1" x14ac:dyDescent="0.25">
      <c r="A2379" s="40"/>
    </row>
    <row r="2380" spans="1:1" x14ac:dyDescent="0.25">
      <c r="A2380" s="40"/>
    </row>
    <row r="2381" spans="1:1" x14ac:dyDescent="0.25">
      <c r="A2381" s="40"/>
    </row>
    <row r="2382" spans="1:1" x14ac:dyDescent="0.25">
      <c r="A2382" s="40"/>
    </row>
    <row r="2383" spans="1:1" x14ac:dyDescent="0.25">
      <c r="A2383" s="40"/>
    </row>
    <row r="2384" spans="1:1" x14ac:dyDescent="0.25">
      <c r="A2384" s="40"/>
    </row>
    <row r="2385" spans="1:1" x14ac:dyDescent="0.25">
      <c r="A2385" s="40"/>
    </row>
    <row r="2386" spans="1:1" x14ac:dyDescent="0.25">
      <c r="A2386" s="40"/>
    </row>
    <row r="2387" spans="1:1" x14ac:dyDescent="0.25">
      <c r="A2387" s="40"/>
    </row>
    <row r="2388" spans="1:1" x14ac:dyDescent="0.25">
      <c r="A2388" s="40"/>
    </row>
    <row r="2389" spans="1:1" x14ac:dyDescent="0.25">
      <c r="A2389" s="40"/>
    </row>
    <row r="2390" spans="1:1" x14ac:dyDescent="0.25">
      <c r="A2390" s="40"/>
    </row>
    <row r="2391" spans="1:1" x14ac:dyDescent="0.25">
      <c r="A2391" s="40"/>
    </row>
    <row r="2392" spans="1:1" x14ac:dyDescent="0.25">
      <c r="A2392" s="40"/>
    </row>
    <row r="2393" spans="1:1" x14ac:dyDescent="0.25">
      <c r="A2393" s="40"/>
    </row>
    <row r="2394" spans="1:1" x14ac:dyDescent="0.25">
      <c r="A2394" s="40"/>
    </row>
    <row r="2395" spans="1:1" x14ac:dyDescent="0.25">
      <c r="A2395" s="40"/>
    </row>
    <row r="2396" spans="1:1" x14ac:dyDescent="0.25">
      <c r="A2396" s="40"/>
    </row>
    <row r="2397" spans="1:1" x14ac:dyDescent="0.25">
      <c r="A2397" s="40"/>
    </row>
    <row r="2398" spans="1:1" x14ac:dyDescent="0.25">
      <c r="A2398" s="40"/>
    </row>
    <row r="2399" spans="1:1" x14ac:dyDescent="0.25">
      <c r="A2399" s="40"/>
    </row>
    <row r="2400" spans="1:1" x14ac:dyDescent="0.25">
      <c r="A2400" s="40"/>
    </row>
    <row r="2401" spans="1:1" x14ac:dyDescent="0.25">
      <c r="A2401" s="40"/>
    </row>
    <row r="2402" spans="1:1" x14ac:dyDescent="0.25">
      <c r="A2402" s="40"/>
    </row>
    <row r="2403" spans="1:1" x14ac:dyDescent="0.25">
      <c r="A2403" s="40"/>
    </row>
    <row r="2404" spans="1:1" x14ac:dyDescent="0.25">
      <c r="A2404" s="40"/>
    </row>
    <row r="2405" spans="1:1" x14ac:dyDescent="0.25">
      <c r="A2405" s="40"/>
    </row>
    <row r="2406" spans="1:1" x14ac:dyDescent="0.25">
      <c r="A2406" s="40"/>
    </row>
    <row r="2407" spans="1:1" x14ac:dyDescent="0.25">
      <c r="A2407" s="40"/>
    </row>
    <row r="2408" spans="1:1" x14ac:dyDescent="0.25">
      <c r="A2408" s="40"/>
    </row>
    <row r="2409" spans="1:1" x14ac:dyDescent="0.25">
      <c r="A2409" s="40"/>
    </row>
    <row r="2410" spans="1:1" x14ac:dyDescent="0.25">
      <c r="A2410" s="40"/>
    </row>
    <row r="2411" spans="1:1" x14ac:dyDescent="0.25">
      <c r="A2411" s="40"/>
    </row>
    <row r="2412" spans="1:1" x14ac:dyDescent="0.25">
      <c r="A2412" s="40"/>
    </row>
    <row r="2413" spans="1:1" x14ac:dyDescent="0.25">
      <c r="A2413" s="40"/>
    </row>
    <row r="2414" spans="1:1" x14ac:dyDescent="0.25">
      <c r="A2414" s="40"/>
    </row>
    <row r="2415" spans="1:1" x14ac:dyDescent="0.25">
      <c r="A2415" s="40"/>
    </row>
    <row r="2416" spans="1:1" x14ac:dyDescent="0.25">
      <c r="A2416" s="40"/>
    </row>
    <row r="2417" spans="1:1" x14ac:dyDescent="0.25">
      <c r="A2417" s="40"/>
    </row>
    <row r="2418" spans="1:1" x14ac:dyDescent="0.25">
      <c r="A2418" s="40"/>
    </row>
    <row r="2419" spans="1:1" x14ac:dyDescent="0.25">
      <c r="A2419" s="40"/>
    </row>
    <row r="2420" spans="1:1" x14ac:dyDescent="0.25">
      <c r="A2420" s="40"/>
    </row>
    <row r="2421" spans="1:1" x14ac:dyDescent="0.25">
      <c r="A2421" s="40"/>
    </row>
    <row r="2422" spans="1:1" x14ac:dyDescent="0.25">
      <c r="A2422" s="40"/>
    </row>
    <row r="2423" spans="1:1" x14ac:dyDescent="0.25">
      <c r="A2423" s="40"/>
    </row>
    <row r="2424" spans="1:1" x14ac:dyDescent="0.25">
      <c r="A2424" s="40"/>
    </row>
    <row r="2425" spans="1:1" x14ac:dyDescent="0.25">
      <c r="A2425" s="40"/>
    </row>
    <row r="2426" spans="1:1" x14ac:dyDescent="0.25">
      <c r="A2426" s="40"/>
    </row>
    <row r="2427" spans="1:1" x14ac:dyDescent="0.25">
      <c r="A2427" s="40"/>
    </row>
    <row r="2428" spans="1:1" x14ac:dyDescent="0.25">
      <c r="A2428" s="40"/>
    </row>
    <row r="2429" spans="1:1" x14ac:dyDescent="0.25">
      <c r="A2429" s="40"/>
    </row>
    <row r="2430" spans="1:1" x14ac:dyDescent="0.25">
      <c r="A2430" s="40"/>
    </row>
    <row r="2431" spans="1:1" x14ac:dyDescent="0.25">
      <c r="A2431" s="40"/>
    </row>
    <row r="2432" spans="1:1" x14ac:dyDescent="0.25">
      <c r="A2432" s="40"/>
    </row>
    <row r="2433" spans="1:1" x14ac:dyDescent="0.25">
      <c r="A2433" s="40"/>
    </row>
    <row r="2434" spans="1:1" x14ac:dyDescent="0.25">
      <c r="A2434" s="40"/>
    </row>
    <row r="2435" spans="1:1" x14ac:dyDescent="0.25">
      <c r="A2435" s="40"/>
    </row>
    <row r="2436" spans="1:1" x14ac:dyDescent="0.25">
      <c r="A2436" s="40"/>
    </row>
    <row r="2437" spans="1:1" x14ac:dyDescent="0.25">
      <c r="A2437" s="40"/>
    </row>
    <row r="2438" spans="1:1" x14ac:dyDescent="0.25">
      <c r="A2438" s="40"/>
    </row>
    <row r="2439" spans="1:1" x14ac:dyDescent="0.25">
      <c r="A2439" s="40"/>
    </row>
    <row r="2440" spans="1:1" x14ac:dyDescent="0.25">
      <c r="A2440" s="40"/>
    </row>
    <row r="2441" spans="1:1" x14ac:dyDescent="0.25">
      <c r="A2441" s="40"/>
    </row>
    <row r="2442" spans="1:1" x14ac:dyDescent="0.25">
      <c r="A2442" s="40"/>
    </row>
    <row r="2443" spans="1:1" x14ac:dyDescent="0.25">
      <c r="A2443" s="40"/>
    </row>
    <row r="2444" spans="1:1" x14ac:dyDescent="0.25">
      <c r="A2444" s="40"/>
    </row>
    <row r="2445" spans="1:1" x14ac:dyDescent="0.25">
      <c r="A2445" s="40"/>
    </row>
    <row r="2446" spans="1:1" x14ac:dyDescent="0.25">
      <c r="A2446" s="40"/>
    </row>
    <row r="2447" spans="1:1" x14ac:dyDescent="0.25">
      <c r="A2447" s="40"/>
    </row>
    <row r="2448" spans="1:1" x14ac:dyDescent="0.25">
      <c r="A2448" s="40"/>
    </row>
    <row r="2449" spans="1:1" x14ac:dyDescent="0.25">
      <c r="A2449" s="40"/>
    </row>
    <row r="2450" spans="1:1" x14ac:dyDescent="0.25">
      <c r="A2450" s="40"/>
    </row>
    <row r="2451" spans="1:1" x14ac:dyDescent="0.25">
      <c r="A2451" s="40"/>
    </row>
    <row r="2452" spans="1:1" x14ac:dyDescent="0.25">
      <c r="A2452" s="40"/>
    </row>
    <row r="2453" spans="1:1" x14ac:dyDescent="0.25">
      <c r="A2453" s="40"/>
    </row>
    <row r="2454" spans="1:1" x14ac:dyDescent="0.25">
      <c r="A2454" s="40"/>
    </row>
    <row r="2455" spans="1:1" x14ac:dyDescent="0.25">
      <c r="A2455" s="40"/>
    </row>
    <row r="2456" spans="1:1" x14ac:dyDescent="0.25">
      <c r="A2456" s="40"/>
    </row>
    <row r="2457" spans="1:1" x14ac:dyDescent="0.25">
      <c r="A2457" s="40"/>
    </row>
    <row r="2458" spans="1:1" x14ac:dyDescent="0.25">
      <c r="A2458" s="40"/>
    </row>
    <row r="2459" spans="1:1" x14ac:dyDescent="0.25">
      <c r="A2459" s="40"/>
    </row>
    <row r="2460" spans="1:1" x14ac:dyDescent="0.25">
      <c r="A2460" s="40"/>
    </row>
    <row r="2461" spans="1:1" x14ac:dyDescent="0.25">
      <c r="A2461" s="40"/>
    </row>
    <row r="2462" spans="1:1" x14ac:dyDescent="0.25">
      <c r="A2462" s="40"/>
    </row>
    <row r="2463" spans="1:1" x14ac:dyDescent="0.25">
      <c r="A2463" s="40"/>
    </row>
    <row r="2464" spans="1:1" x14ac:dyDescent="0.25">
      <c r="A2464" s="40"/>
    </row>
    <row r="2465" spans="1:1" x14ac:dyDescent="0.25">
      <c r="A2465" s="40"/>
    </row>
    <row r="2466" spans="1:1" x14ac:dyDescent="0.25">
      <c r="A2466" s="40"/>
    </row>
    <row r="2467" spans="1:1" x14ac:dyDescent="0.25">
      <c r="A2467" s="40"/>
    </row>
    <row r="2468" spans="1:1" x14ac:dyDescent="0.25">
      <c r="A2468" s="40"/>
    </row>
    <row r="2469" spans="1:1" x14ac:dyDescent="0.25">
      <c r="A2469" s="40"/>
    </row>
    <row r="2470" spans="1:1" x14ac:dyDescent="0.25">
      <c r="A2470" s="40"/>
    </row>
    <row r="2471" spans="1:1" x14ac:dyDescent="0.25">
      <c r="A2471" s="40"/>
    </row>
    <row r="2472" spans="1:1" x14ac:dyDescent="0.25">
      <c r="A2472" s="40"/>
    </row>
    <row r="2473" spans="1:1" x14ac:dyDescent="0.25">
      <c r="A2473" s="40"/>
    </row>
    <row r="2474" spans="1:1" x14ac:dyDescent="0.25">
      <c r="A2474" s="40"/>
    </row>
    <row r="2475" spans="1:1" x14ac:dyDescent="0.25">
      <c r="A2475" s="40"/>
    </row>
    <row r="2476" spans="1:1" x14ac:dyDescent="0.25">
      <c r="A2476" s="40"/>
    </row>
    <row r="2477" spans="1:1" x14ac:dyDescent="0.25">
      <c r="A2477" s="40"/>
    </row>
    <row r="2478" spans="1:1" x14ac:dyDescent="0.25">
      <c r="A2478" s="40"/>
    </row>
    <row r="2479" spans="1:1" x14ac:dyDescent="0.25">
      <c r="A2479" s="40"/>
    </row>
    <row r="2480" spans="1:1" x14ac:dyDescent="0.25">
      <c r="A2480" s="40"/>
    </row>
    <row r="2481" spans="1:1" x14ac:dyDescent="0.25">
      <c r="A2481" s="40"/>
    </row>
    <row r="2482" spans="1:1" x14ac:dyDescent="0.25">
      <c r="A2482" s="40"/>
    </row>
    <row r="2483" spans="1:1" x14ac:dyDescent="0.25">
      <c r="A2483" s="40"/>
    </row>
    <row r="2484" spans="1:1" x14ac:dyDescent="0.25">
      <c r="A2484" s="40"/>
    </row>
    <row r="2485" spans="1:1" x14ac:dyDescent="0.25">
      <c r="A2485" s="40"/>
    </row>
    <row r="2486" spans="1:1" x14ac:dyDescent="0.25">
      <c r="A2486" s="40"/>
    </row>
    <row r="2487" spans="1:1" x14ac:dyDescent="0.25">
      <c r="A2487" s="40"/>
    </row>
    <row r="2488" spans="1:1" x14ac:dyDescent="0.25">
      <c r="A2488" s="40"/>
    </row>
    <row r="2489" spans="1:1" x14ac:dyDescent="0.25">
      <c r="A2489" s="40"/>
    </row>
    <row r="2490" spans="1:1" x14ac:dyDescent="0.25">
      <c r="A2490" s="40"/>
    </row>
    <row r="2491" spans="1:1" x14ac:dyDescent="0.25">
      <c r="A2491" s="40"/>
    </row>
    <row r="2492" spans="1:1" x14ac:dyDescent="0.25">
      <c r="A2492" s="40"/>
    </row>
    <row r="2493" spans="1:1" x14ac:dyDescent="0.25">
      <c r="A2493" s="40"/>
    </row>
    <row r="2494" spans="1:1" x14ac:dyDescent="0.25">
      <c r="A2494" s="40"/>
    </row>
    <row r="2495" spans="1:1" x14ac:dyDescent="0.25">
      <c r="A2495" s="40"/>
    </row>
    <row r="2496" spans="1:1" x14ac:dyDescent="0.25">
      <c r="A2496" s="40"/>
    </row>
    <row r="2497" spans="1:1" x14ac:dyDescent="0.25">
      <c r="A2497" s="40"/>
    </row>
    <row r="2498" spans="1:1" x14ac:dyDescent="0.25">
      <c r="A2498" s="40"/>
    </row>
    <row r="2499" spans="1:1" x14ac:dyDescent="0.25">
      <c r="A2499" s="40"/>
    </row>
    <row r="2500" spans="1:1" x14ac:dyDescent="0.25">
      <c r="A2500" s="40"/>
    </row>
    <row r="2501" spans="1:1" x14ac:dyDescent="0.25">
      <c r="A2501" s="40"/>
    </row>
    <row r="2502" spans="1:1" x14ac:dyDescent="0.25">
      <c r="A2502" s="40"/>
    </row>
    <row r="2503" spans="1:1" x14ac:dyDescent="0.25">
      <c r="A2503" s="40"/>
    </row>
    <row r="2504" spans="1:1" x14ac:dyDescent="0.25">
      <c r="A2504" s="40"/>
    </row>
    <row r="2505" spans="1:1" x14ac:dyDescent="0.25">
      <c r="A2505" s="40"/>
    </row>
    <row r="2506" spans="1:1" x14ac:dyDescent="0.25">
      <c r="A2506" s="40"/>
    </row>
    <row r="2507" spans="1:1" x14ac:dyDescent="0.25">
      <c r="A2507" s="40"/>
    </row>
    <row r="2508" spans="1:1" x14ac:dyDescent="0.25">
      <c r="A2508" s="40"/>
    </row>
    <row r="2509" spans="1:1" x14ac:dyDescent="0.25">
      <c r="A2509" s="40"/>
    </row>
    <row r="2510" spans="1:1" x14ac:dyDescent="0.25">
      <c r="A2510" s="40"/>
    </row>
    <row r="2511" spans="1:1" x14ac:dyDescent="0.25">
      <c r="A2511" s="40"/>
    </row>
    <row r="2512" spans="1:1" x14ac:dyDescent="0.25">
      <c r="A2512" s="40"/>
    </row>
    <row r="2513" spans="1:1" x14ac:dyDescent="0.25">
      <c r="A2513" s="40"/>
    </row>
    <row r="2514" spans="1:1" x14ac:dyDescent="0.25">
      <c r="A2514" s="40"/>
    </row>
    <row r="2515" spans="1:1" x14ac:dyDescent="0.25">
      <c r="A2515" s="40"/>
    </row>
    <row r="2516" spans="1:1" x14ac:dyDescent="0.25">
      <c r="A2516" s="40"/>
    </row>
    <row r="2517" spans="1:1" x14ac:dyDescent="0.25">
      <c r="A2517" s="40"/>
    </row>
    <row r="2518" spans="1:1" x14ac:dyDescent="0.25">
      <c r="A2518" s="40"/>
    </row>
    <row r="2519" spans="1:1" x14ac:dyDescent="0.25">
      <c r="A2519" s="40"/>
    </row>
    <row r="2520" spans="1:1" x14ac:dyDescent="0.25">
      <c r="A2520" s="40"/>
    </row>
    <row r="2521" spans="1:1" x14ac:dyDescent="0.25">
      <c r="A2521" s="40"/>
    </row>
    <row r="2522" spans="1:1" x14ac:dyDescent="0.25">
      <c r="A2522" s="40"/>
    </row>
    <row r="2523" spans="1:1" x14ac:dyDescent="0.25">
      <c r="A2523" s="40"/>
    </row>
    <row r="2524" spans="1:1" x14ac:dyDescent="0.25">
      <c r="A2524" s="40"/>
    </row>
    <row r="2525" spans="1:1" x14ac:dyDescent="0.25">
      <c r="A2525" s="40"/>
    </row>
    <row r="2526" spans="1:1" x14ac:dyDescent="0.25">
      <c r="A2526" s="40"/>
    </row>
    <row r="2527" spans="1:1" x14ac:dyDescent="0.25">
      <c r="A2527" s="40"/>
    </row>
    <row r="2528" spans="1:1" x14ac:dyDescent="0.25">
      <c r="A2528" s="40"/>
    </row>
    <row r="2529" spans="1:1" x14ac:dyDescent="0.25">
      <c r="A2529" s="40"/>
    </row>
    <row r="2530" spans="1:1" x14ac:dyDescent="0.25">
      <c r="A2530" s="40"/>
    </row>
    <row r="2531" spans="1:1" x14ac:dyDescent="0.25">
      <c r="A2531" s="40"/>
    </row>
    <row r="2532" spans="1:1" x14ac:dyDescent="0.25">
      <c r="A2532" s="40"/>
    </row>
    <row r="2533" spans="1:1" x14ac:dyDescent="0.25">
      <c r="A2533" s="40"/>
    </row>
    <row r="2534" spans="1:1" x14ac:dyDescent="0.25">
      <c r="A2534" s="40"/>
    </row>
    <row r="2535" spans="1:1" x14ac:dyDescent="0.25">
      <c r="A2535" s="40"/>
    </row>
    <row r="2536" spans="1:1" x14ac:dyDescent="0.25">
      <c r="A2536" s="40"/>
    </row>
    <row r="2537" spans="1:1" x14ac:dyDescent="0.25">
      <c r="A2537" s="40"/>
    </row>
    <row r="2538" spans="1:1" x14ac:dyDescent="0.25">
      <c r="A2538" s="40"/>
    </row>
    <row r="2539" spans="1:1" x14ac:dyDescent="0.25">
      <c r="A2539" s="40"/>
    </row>
    <row r="2540" spans="1:1" x14ac:dyDescent="0.25">
      <c r="A2540" s="40"/>
    </row>
    <row r="2541" spans="1:1" x14ac:dyDescent="0.25">
      <c r="A2541" s="40"/>
    </row>
    <row r="2542" spans="1:1" x14ac:dyDescent="0.25">
      <c r="A2542" s="40"/>
    </row>
    <row r="2543" spans="1:1" x14ac:dyDescent="0.25">
      <c r="A2543" s="40"/>
    </row>
    <row r="2544" spans="1:1" x14ac:dyDescent="0.25">
      <c r="A2544" s="40"/>
    </row>
    <row r="2545" spans="1:1" x14ac:dyDescent="0.25">
      <c r="A2545" s="40"/>
    </row>
    <row r="2546" spans="1:1" x14ac:dyDescent="0.25">
      <c r="A2546" s="40"/>
    </row>
    <row r="2547" spans="1:1" x14ac:dyDescent="0.25">
      <c r="A2547" s="40"/>
    </row>
    <row r="2548" spans="1:1" x14ac:dyDescent="0.25">
      <c r="A2548" s="40"/>
    </row>
    <row r="2549" spans="1:1" x14ac:dyDescent="0.25">
      <c r="A2549" s="40"/>
    </row>
    <row r="2550" spans="1:1" x14ac:dyDescent="0.25">
      <c r="A2550" s="40"/>
    </row>
    <row r="2551" spans="1:1" x14ac:dyDescent="0.25">
      <c r="A2551" s="40"/>
    </row>
    <row r="2552" spans="1:1" x14ac:dyDescent="0.25">
      <c r="A2552" s="40"/>
    </row>
    <row r="2553" spans="1:1" x14ac:dyDescent="0.25">
      <c r="A2553" s="40"/>
    </row>
    <row r="2554" spans="1:1" x14ac:dyDescent="0.25">
      <c r="A2554" s="40"/>
    </row>
    <row r="2555" spans="1:1" x14ac:dyDescent="0.25">
      <c r="A2555" s="40"/>
    </row>
    <row r="2556" spans="1:1" x14ac:dyDescent="0.25">
      <c r="A2556" s="40"/>
    </row>
    <row r="2557" spans="1:1" x14ac:dyDescent="0.25">
      <c r="A2557" s="40"/>
    </row>
    <row r="2558" spans="1:1" x14ac:dyDescent="0.25">
      <c r="A2558" s="40"/>
    </row>
    <row r="2559" spans="1:1" x14ac:dyDescent="0.25">
      <c r="A2559" s="40"/>
    </row>
    <row r="2560" spans="1:1" x14ac:dyDescent="0.25">
      <c r="A2560" s="40"/>
    </row>
    <row r="2561" spans="1:1" x14ac:dyDescent="0.25">
      <c r="A2561" s="40"/>
    </row>
    <row r="2562" spans="1:1" x14ac:dyDescent="0.25">
      <c r="A2562" s="40"/>
    </row>
    <row r="2563" spans="1:1" x14ac:dyDescent="0.25">
      <c r="A2563" s="40"/>
    </row>
    <row r="2564" spans="1:1" x14ac:dyDescent="0.25">
      <c r="A2564" s="40"/>
    </row>
    <row r="2565" spans="1:1" x14ac:dyDescent="0.25">
      <c r="A2565" s="40"/>
    </row>
    <row r="2566" spans="1:1" x14ac:dyDescent="0.25">
      <c r="A2566" s="40"/>
    </row>
    <row r="2567" spans="1:1" x14ac:dyDescent="0.25">
      <c r="A2567" s="40"/>
    </row>
    <row r="2568" spans="1:1" x14ac:dyDescent="0.25">
      <c r="A2568" s="40"/>
    </row>
    <row r="2569" spans="1:1" x14ac:dyDescent="0.25">
      <c r="A2569" s="40"/>
    </row>
    <row r="2570" spans="1:1" x14ac:dyDescent="0.25">
      <c r="A2570" s="40"/>
    </row>
    <row r="2571" spans="1:1" x14ac:dyDescent="0.25">
      <c r="A2571" s="40"/>
    </row>
    <row r="2572" spans="1:1" x14ac:dyDescent="0.25">
      <c r="A2572" s="40"/>
    </row>
    <row r="2573" spans="1:1" x14ac:dyDescent="0.25">
      <c r="A2573" s="40"/>
    </row>
    <row r="2574" spans="1:1" x14ac:dyDescent="0.25">
      <c r="A2574" s="40"/>
    </row>
    <row r="2575" spans="1:1" x14ac:dyDescent="0.25">
      <c r="A2575" s="40"/>
    </row>
    <row r="2576" spans="1:1" x14ac:dyDescent="0.25">
      <c r="A2576" s="40"/>
    </row>
    <row r="2577" spans="1:1" x14ac:dyDescent="0.25">
      <c r="A2577" s="40"/>
    </row>
    <row r="2578" spans="1:1" x14ac:dyDescent="0.25">
      <c r="A2578" s="40"/>
    </row>
    <row r="2579" spans="1:1" x14ac:dyDescent="0.25">
      <c r="A2579" s="40"/>
    </row>
    <row r="2580" spans="1:1" x14ac:dyDescent="0.25">
      <c r="A2580" s="40"/>
    </row>
    <row r="2581" spans="1:1" x14ac:dyDescent="0.25">
      <c r="A2581" s="40"/>
    </row>
    <row r="2582" spans="1:1" x14ac:dyDescent="0.25">
      <c r="A2582" s="40"/>
    </row>
  </sheetData>
  <autoFilter ref="A1:M1" xr:uid="{F2A2A145-8A7B-4E30-BBC3-4E3FCE2E1C16}">
    <sortState xmlns:xlrd2="http://schemas.microsoft.com/office/spreadsheetml/2017/richdata2" ref="A2:M254">
      <sortCondition ref="A1"/>
    </sortState>
  </autoFilter>
  <sortState xmlns:xlrd2="http://schemas.microsoft.com/office/spreadsheetml/2017/richdata2" ref="A2:K43">
    <sortCondition ref="A2:A43"/>
  </sortState>
  <dataValidations disablePrompts="1" count="3">
    <dataValidation type="list" allowBlank="1" showInputMessage="1" showErrorMessage="1" sqref="B2:B587" xr:uid="{B250946E-982F-4CF7-BB46-CEB98868A461}">
      <formula1>"STOCK,ETF,DIVIDEND,DEPOSIT,CRYPTO"</formula1>
    </dataValidation>
    <dataValidation type="list" allowBlank="1" showInputMessage="1" showErrorMessage="1" sqref="C2:C3334" xr:uid="{758CB653-7FF3-4F55-941D-DD728F495540}">
      <formula1>"BUY,SELL,DIVIDEND,INTEREST"</formula1>
    </dataValidation>
    <dataValidation type="list" allowBlank="1" showInputMessage="1" showErrorMessage="1" sqref="I2:I3605" xr:uid="{349A307D-8C64-4AD0-BD67-AAE0F0607B08}">
      <formula1>"USD,EUR"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Button 3">
              <controlPr defaultSize="0" print="0" autoFill="0" autoPict="0" macro="[0]!ComputeFIFO_Fast">
                <anchor moveWithCells="1" sizeWithCells="1">
                  <from>
                    <xdr:col>13</xdr:col>
                    <xdr:colOff>47625</xdr:colOff>
                    <xdr:row>0</xdr:row>
                    <xdr:rowOff>19050</xdr:rowOff>
                  </from>
                  <to>
                    <xdr:col>14</xdr:col>
                    <xdr:colOff>571500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99E37-A971-4037-9A93-E48C13562BB3}">
  <sheetPr codeName="Sheet6" filterMode="1"/>
  <dimension ref="A1:J18"/>
  <sheetViews>
    <sheetView showGridLines="0" zoomScale="175" zoomScaleNormal="175" workbookViewId="0">
      <selection activeCell="D19" sqref="D19"/>
    </sheetView>
  </sheetViews>
  <sheetFormatPr defaultRowHeight="15" x14ac:dyDescent="0.25"/>
  <cols>
    <col min="2" max="2" width="13" bestFit="1" customWidth="1"/>
    <col min="3" max="3" width="16" style="24" bestFit="1" customWidth="1"/>
    <col min="4" max="4" width="15.5703125" bestFit="1" customWidth="1"/>
    <col min="5" max="5" width="15.7109375" bestFit="1" customWidth="1"/>
    <col min="6" max="6" width="13.42578125" style="26" bestFit="1" customWidth="1"/>
    <col min="7" max="7" width="14.140625" bestFit="1" customWidth="1"/>
    <col min="9" max="9" width="20.140625" bestFit="1" customWidth="1"/>
    <col min="10" max="10" width="10.140625" bestFit="1" customWidth="1"/>
  </cols>
  <sheetData>
    <row r="1" spans="1:7" ht="15" customHeight="1" x14ac:dyDescent="0.25">
      <c r="A1" s="29" t="s">
        <v>7</v>
      </c>
      <c r="B1" s="29" t="s">
        <v>52</v>
      </c>
      <c r="C1" s="36" t="s">
        <v>57</v>
      </c>
      <c r="D1" s="29" t="s">
        <v>58</v>
      </c>
      <c r="E1" s="29" t="s">
        <v>59</v>
      </c>
      <c r="F1" s="30" t="s">
        <v>53</v>
      </c>
      <c r="G1" s="29" t="s">
        <v>60</v>
      </c>
    </row>
    <row r="2" spans="1:7" ht="15" customHeight="1" x14ac:dyDescent="0.25">
      <c r="A2" t="str" cm="1">
        <f t="array" ref="A2:A17">IFERROR(_xlfn._xlws.SORT(_xlfn.UNIQUE(_xlfn._xlws.FILTER(Transactions!D2:D997, Transactions!D2:D997&lt;&gt;""))),"")</f>
        <v>99U</v>
      </c>
      <c r="B2" t="str">
        <f>INDEX(Transactions!B:B,MATCH(A2,Transactions!D:D,0))</f>
        <v>STOCK</v>
      </c>
      <c r="C2" s="24">
        <f>SUMIFS(Transactions!J:J, Transactions!D:D, A2, Transactions!C:C, "BUY") + SUMIFS(Transactions!J:J, Transactions!D:D, A2, Transactions!C:C, "SELL")</f>
        <v>0</v>
      </c>
      <c r="D2" s="25" cm="1">
        <f t="array" ref="D2">SUMPRODUCT(Transactions!E:E, Transactions!F:F, --(Transactions!D:D=A2), --(Transactions!C:C="BUY")) / SUMIFS(Transactions!E:E, Transactions!D:D, A2, Transactions!C:C, "BUY")</f>
        <v>9.6999999999999993</v>
      </c>
      <c r="E2" s="25">
        <f>C2*D2</f>
        <v>0</v>
      </c>
      <c r="F2" s="26" t="str">
        <f>VLOOKUP(A2, Transactions!D:I, 6, FALSE)</f>
        <v>EUR</v>
      </c>
      <c r="G2" s="25">
        <f>IF(C2=0,
    ABS(SUMIFS(Transactions!H:H, Transactions!D:D, A2, Transactions!C:C, "SELL")) -
    ABS(SUMIFS(Transactions!H:H, Transactions!D:D, A2, Transactions!C:C, "BUY")),
    0)</f>
        <v>-2</v>
      </c>
    </row>
    <row r="3" spans="1:7" ht="15" customHeight="1" x14ac:dyDescent="0.25">
      <c r="A3" t="str">
        <v>AAPL</v>
      </c>
      <c r="B3" t="str">
        <f>INDEX(Transactions!B:B,MATCH(A3,Transactions!D:D,0))</f>
        <v>STOCK</v>
      </c>
      <c r="C3" s="24">
        <f>SUMIFS(Transactions!J:J, Transactions!D:D, A3, Transactions!C:C, "BUY") + SUMIFS(Transactions!J:J, Transactions!D:D, A3, Transactions!C:C, "SELL")</f>
        <v>0</v>
      </c>
      <c r="D3" s="25" cm="1">
        <f t="array" ref="D3">SUMPRODUCT(Transactions!E:E, Transactions!F:F, --(Transactions!D:D=A3), --(Transactions!C:C="BUY")) / SUMIFS(Transactions!E:E, Transactions!D:D, A3, Transactions!C:C, "BUY")</f>
        <v>169.59</v>
      </c>
      <c r="E3" s="25">
        <f t="shared" ref="E3:E17" si="0">C3*D3</f>
        <v>0</v>
      </c>
      <c r="F3" s="26" t="str">
        <f>VLOOKUP(A3, Transactions!D:I, 6, FALSE)</f>
        <v>USD</v>
      </c>
      <c r="G3" s="25">
        <f>IF(C3=0,
    ABS(SUMIFS(Transactions!H:H, Transactions!D:D, A3, Transactions!C:C, "SELL")) -
    ABS(SUMIFS(Transactions!H:H, Transactions!D:D, A3, Transactions!C:C, "BUY")),
    0)</f>
        <v>628.51247129319927</v>
      </c>
    </row>
    <row r="4" spans="1:7" ht="15" customHeight="1" x14ac:dyDescent="0.25">
      <c r="A4" t="str">
        <v>AHLA</v>
      </c>
      <c r="B4" t="str">
        <f>INDEX(Transactions!B:B,MATCH(A4,Transactions!D:D,0))</f>
        <v>STOCK</v>
      </c>
      <c r="C4" s="24">
        <f>SUMIFS(Transactions!J:J, Transactions!D:D, A4, Transactions!C:C, "BUY") + SUMIFS(Transactions!J:J, Transactions!D:D, A4, Transactions!C:C, "SELL")</f>
        <v>0</v>
      </c>
      <c r="D4" s="25" cm="1">
        <f t="array" ref="D4">SUMPRODUCT(Transactions!E:E, Transactions!F:F, --(Transactions!D:D=A4), --(Transactions!C:C="BUY")) / SUMIFS(Transactions!E:E, Transactions!D:D, A4, Transactions!C:C, "BUY")</f>
        <v>69.8</v>
      </c>
      <c r="E4" s="25">
        <f t="shared" si="0"/>
        <v>0</v>
      </c>
      <c r="F4" s="26" t="str">
        <f>VLOOKUP(A4, Transactions!D:I, 6, FALSE)</f>
        <v>EUR</v>
      </c>
      <c r="G4" s="25">
        <f>IF(C4=0,
    ABS(SUMIFS(Transactions!H:H, Transactions!D:D, A4, Transactions!C:C, "SELL")) -
    ABS(SUMIFS(Transactions!H:H, Transactions!D:D, A4, Transactions!C:C, "BUY")),
    0)</f>
        <v>265.62463500000013</v>
      </c>
    </row>
    <row r="5" spans="1:7" ht="15" customHeight="1" x14ac:dyDescent="0.25">
      <c r="A5" t="str">
        <v>AMD</v>
      </c>
      <c r="B5" t="str">
        <f>INDEX(Transactions!B:B,MATCH(A5,Transactions!D:D,0))</f>
        <v>STOCK</v>
      </c>
      <c r="C5" s="24">
        <f>SUMIFS(Transactions!J:J, Transactions!D:D, A5, Transactions!C:C, "BUY") + SUMIFS(Transactions!J:J, Transactions!D:D, A5, Transactions!C:C, "SELL")</f>
        <v>0</v>
      </c>
      <c r="D5" s="25" cm="1">
        <f t="array" ref="D5">SUMPRODUCT(Transactions!E:E, Transactions!F:F, --(Transactions!D:D=A5), --(Transactions!C:C="BUY")) / SUMIFS(Transactions!E:E, Transactions!D:D, A5, Transactions!C:C, "BUY")</f>
        <v>150.36000000000001</v>
      </c>
      <c r="E5" s="25">
        <f t="shared" si="0"/>
        <v>0</v>
      </c>
      <c r="F5" s="26" t="str">
        <f>VLOOKUP(A5, Transactions!D:I, 6, FALSE)</f>
        <v>EUR</v>
      </c>
      <c r="G5" s="25">
        <f>IF(C5=0,
    ABS(SUMIFS(Transactions!H:H, Transactions!D:D, A5, Transactions!C:C, "SELL")) -
    ABS(SUMIFS(Transactions!H:H, Transactions!D:D, A5, Transactions!C:C, "BUY")),
    0)</f>
        <v>98.412288040000021</v>
      </c>
    </row>
    <row r="6" spans="1:7" ht="15" customHeight="1" x14ac:dyDescent="0.25">
      <c r="A6" t="str">
        <v>FB2A</v>
      </c>
      <c r="B6" t="str">
        <f>INDEX(Transactions!B:B,MATCH(A6,Transactions!D:D,0))</f>
        <v>STOCK</v>
      </c>
      <c r="C6" s="24">
        <f>SUMIFS(Transactions!J:J, Transactions!D:D, A6, Transactions!C:C, "BUY") + SUMIFS(Transactions!J:J, Transactions!D:D, A6, Transactions!C:C, "SELL")</f>
        <v>0</v>
      </c>
      <c r="D6" s="25" cm="1">
        <f t="array" ref="D6">SUMPRODUCT(Transactions!E:E, Transactions!F:F, --(Transactions!D:D=A6), --(Transactions!C:C="BUY")) / SUMIFS(Transactions!E:E, Transactions!D:D, A6, Transactions!C:C, "BUY")</f>
        <v>434.8</v>
      </c>
      <c r="E6" s="25">
        <f t="shared" si="0"/>
        <v>0</v>
      </c>
      <c r="F6" s="26" t="str">
        <f>VLOOKUP(A6, Transactions!D:I, 6, FALSE)</f>
        <v>EUR</v>
      </c>
      <c r="G6" s="25">
        <f>IF(C6=0,
    ABS(SUMIFS(Transactions!H:H, Transactions!D:D, A6, Transactions!C:C, "SELL")) -
    ABS(SUMIFS(Transactions!H:H, Transactions!D:D, A6, Transactions!C:C, "BUY")),
    0)</f>
        <v>5.1872124999999869</v>
      </c>
    </row>
    <row r="7" spans="1:7" ht="15" customHeight="1" x14ac:dyDescent="0.25">
      <c r="A7" t="str">
        <v>INL</v>
      </c>
      <c r="B7" t="str">
        <f>INDEX(Transactions!B:B,MATCH(A7,Transactions!D:D,0))</f>
        <v>STOCK</v>
      </c>
      <c r="C7" s="24">
        <f>SUMIFS(Transactions!J:J, Transactions!D:D, A7, Transactions!C:C, "BUY") + SUMIFS(Transactions!J:J, Transactions!D:D, A7, Transactions!C:C, "SELL")</f>
        <v>0</v>
      </c>
      <c r="D7" s="25" cm="1">
        <f t="array" ref="D7">SUMPRODUCT(Transactions!E:E, Transactions!F:F, --(Transactions!D:D=A7), --(Transactions!C:C="BUY")) / SUMIFS(Transactions!E:E, Transactions!D:D, A7, Transactions!C:C, "BUY")</f>
        <v>29.454999999999998</v>
      </c>
      <c r="E7" s="25">
        <f t="shared" si="0"/>
        <v>0</v>
      </c>
      <c r="F7" s="26" t="str">
        <f>VLOOKUP(A7, Transactions!D:I, 6, FALSE)</f>
        <v>EUR</v>
      </c>
      <c r="G7" s="25">
        <f>IF(C7=0,
    ABS(SUMIFS(Transactions!H:H, Transactions!D:D, A7, Transactions!C:C, "SELL")) -
    ABS(SUMIFS(Transactions!H:H, Transactions!D:D, A7, Transactions!C:C, "BUY")),
    0)</f>
        <v>-8.6202681349998329</v>
      </c>
    </row>
    <row r="8" spans="1:7" ht="15" customHeight="1" x14ac:dyDescent="0.25">
      <c r="A8" t="str">
        <v>IQQA</v>
      </c>
      <c r="B8" t="str">
        <f>INDEX(Transactions!B:B,MATCH(A8,Transactions!D:D,0))</f>
        <v>ETF</v>
      </c>
      <c r="C8" s="24">
        <f>SUMIFS(Transactions!J:J, Transactions!D:D, A8, Transactions!C:C, "BUY") + SUMIFS(Transactions!J:J, Transactions!D:D, A8, Transactions!C:C, "SELL")</f>
        <v>0</v>
      </c>
      <c r="D8" s="25" cm="1">
        <f t="array" ref="D8">SUMPRODUCT(Transactions!E:E, Transactions!F:F, --(Transactions!D:D=A8), --(Transactions!C:C="BUY")) / SUMIFS(Transactions!E:E, Transactions!D:D, A8, Transactions!C:C, "BUY")</f>
        <v>18.042000000000002</v>
      </c>
      <c r="E8" s="25">
        <f>C8*D8</f>
        <v>0</v>
      </c>
      <c r="F8" s="26" t="str">
        <f>VLOOKUP(A8, Transactions!D:I, 6, FALSE)</f>
        <v>EUR</v>
      </c>
      <c r="G8" s="25">
        <f>IF(C8=0,
    ABS(SUMIFS(Transactions!H:H, Transactions!D:D, A8, Transactions!C:C, "SELL")) -
    ABS(SUMIFS(Transactions!H:H, Transactions!D:D, A8, Transactions!C:C, "BUY")),
    0)</f>
        <v>-0.66798477999999761</v>
      </c>
    </row>
    <row r="9" spans="1:7" ht="15" customHeight="1" x14ac:dyDescent="0.25">
      <c r="A9" t="str">
        <v>J7Z</v>
      </c>
      <c r="B9" t="str">
        <f>INDEX(Transactions!B:B,MATCH(A9,Transactions!D:D,0))</f>
        <v>STOCK</v>
      </c>
      <c r="C9" s="24">
        <f>SUMIFS(Transactions!J:J, Transactions!D:D, A9, Transactions!C:C, "BUY") + SUMIFS(Transactions!J:J, Transactions!D:D, A9, Transactions!C:C, "SELL")</f>
        <v>0</v>
      </c>
      <c r="D9" s="25" cm="1">
        <f t="array" ref="D9">SUMPRODUCT(Transactions!E:E, Transactions!F:F, --(Transactions!D:D=A9), --(Transactions!C:C="BUY")) / SUMIFS(Transactions!E:E, Transactions!D:D, A9, Transactions!C:C, "BUY")</f>
        <v>98</v>
      </c>
      <c r="E9" s="25">
        <f t="shared" si="0"/>
        <v>0</v>
      </c>
      <c r="F9" s="26" t="str">
        <f>VLOOKUP(A9, Transactions!D:I, 6, FALSE)</f>
        <v>EUR</v>
      </c>
      <c r="G9" s="25">
        <f>IF(C9=0,
    ABS(SUMIFS(Transactions!H:H, Transactions!D:D, A9, Transactions!C:C, "SELL")) -
    ABS(SUMIFS(Transactions!H:H, Transactions!D:D, A9, Transactions!C:C, "BUY")),
    0)</f>
        <v>47.352168550000101</v>
      </c>
    </row>
    <row r="10" spans="1:7" ht="15" customHeight="1" x14ac:dyDescent="0.25">
      <c r="A10" s="29" t="str">
        <v>QDV4</v>
      </c>
      <c r="B10" s="29" t="str">
        <f>INDEX(Transactions!B:B,MATCH(A10,Transactions!D:D,0))</f>
        <v>ETF</v>
      </c>
      <c r="C10" s="36">
        <f>SUMIFS(Transactions!J:J, Transactions!D:D, A10, Transactions!C:C, "BUY") + SUMIFS(Transactions!J:J, Transactions!D:D, A10, Transactions!C:C, "SELL")</f>
        <v>166.465868</v>
      </c>
      <c r="D10" s="33" cm="1">
        <f t="array" ref="D10">SUMPRODUCT(Transactions!E:E, Transactions!F:F, --(Transactions!D:D=A10), --(Transactions!C:C="BUY")) / SUMIFS(Transactions!E:E, Transactions!D:D, A10, Transactions!C:C, "BUY")</f>
        <v>5.9899354173919903</v>
      </c>
      <c r="E10" s="33">
        <f>C10*D10</f>
        <v>997.11979852009995</v>
      </c>
      <c r="F10" s="30" t="str">
        <f>VLOOKUP(A10, Transactions!D:I, 6, FALSE)</f>
        <v>EUR</v>
      </c>
      <c r="G10" s="33">
        <f>IF(C10=0,
    ABS(SUMIFS(Transactions!H:H, Transactions!D:D, A10, Transactions!C:C, "SELL")) -
    ABS(SUMIFS(Transactions!H:H, Transactions!D:D, A10, Transactions!C:C, "BUY")),
    0)</f>
        <v>0</v>
      </c>
    </row>
    <row r="11" spans="1:7" hidden="1" x14ac:dyDescent="0.25">
      <c r="A11" t="str">
        <v>QDVY</v>
      </c>
      <c r="B11" t="str">
        <f>INDEX(Transactions!B:B,MATCH(A11,Transactions!D:D,0))</f>
        <v>ETF</v>
      </c>
      <c r="C11" s="24">
        <f>SUMIFS(Transactions!J:J, Transactions!D:D, A11, Transactions!C:C, "BUY") + SUMIFS(Transactions!J:J, Transactions!D:D, A11, Transactions!C:C, "SELL")</f>
        <v>0</v>
      </c>
      <c r="D11" s="25" cm="1">
        <f t="array" ref="D11">SUMPRODUCT(Transactions!E:E, Transactions!F:F, --(Transactions!D:D=A11), --(Transactions!C:C="BUY")) / SUMIFS(Transactions!E:E, Transactions!D:D, A11, Transactions!C:C, "BUY")</f>
        <v>4.6548992842579606</v>
      </c>
      <c r="E11" s="25">
        <f t="shared" si="0"/>
        <v>0</v>
      </c>
      <c r="F11" s="26" t="str">
        <f>VLOOKUP(A11, Transactions!D:I, 6, FALSE)</f>
        <v>EUR</v>
      </c>
      <c r="G11" s="25">
        <f>IF(C11=0,
    ABS(SUMIFS(Transactions!H:H, Transactions!D:D, A11, Transactions!C:C, "SELL")) -
    ABS(SUMIFS(Transactions!H:H, Transactions!D:D, A11, Transactions!C:C, "BUY")),
    0)</f>
        <v>7.2637557610999579</v>
      </c>
    </row>
    <row r="12" spans="1:7" hidden="1" x14ac:dyDescent="0.25">
      <c r="A12" t="str">
        <v>QQQ3</v>
      </c>
      <c r="B12" t="str">
        <f>INDEX(Transactions!B:B,MATCH(A12,Transactions!D:D,0))</f>
        <v>ETF</v>
      </c>
      <c r="C12" s="24">
        <f>SUMIFS(Transactions!J:J, Transactions!D:D, A12, Transactions!C:C, "BUY") + SUMIFS(Transactions!J:J, Transactions!D:D, A12, Transactions!C:C, "SELL")</f>
        <v>0</v>
      </c>
      <c r="D12" s="25" cm="1">
        <f t="array" ref="D12">SUMPRODUCT(Transactions!E:E, Transactions!F:F, --(Transactions!D:D=A12), --(Transactions!C:C="BUY")) / SUMIFS(Transactions!E:E, Transactions!D:D, A12, Transactions!C:C, "BUY")</f>
        <v>175.96</v>
      </c>
      <c r="E12" s="25">
        <f t="shared" si="0"/>
        <v>0</v>
      </c>
      <c r="F12" s="26" t="str">
        <f>VLOOKUP(A12, Transactions!D:I, 6, FALSE)</f>
        <v>EUR</v>
      </c>
      <c r="G12" s="25">
        <f>IF(C12=0,
    ABS(SUMIFS(Transactions!H:H, Transactions!D:D, A12, Transactions!C:C, "SELL")) -
    ABS(SUMIFS(Transactions!H:H, Transactions!D:D, A12, Transactions!C:C, "BUY")),
    0)</f>
        <v>143.66946750999978</v>
      </c>
    </row>
    <row r="13" spans="1:7" hidden="1" x14ac:dyDescent="0.25">
      <c r="A13" t="str">
        <v>QQQS</v>
      </c>
      <c r="B13" t="str">
        <f>INDEX(Transactions!B:B,MATCH(A13,Transactions!D:D,0))</f>
        <v>ETF</v>
      </c>
      <c r="C13" s="24">
        <f>SUMIFS(Transactions!J:J, Transactions!D:D, A13, Transactions!C:C, "BUY") + SUMIFS(Transactions!J:J, Transactions!D:D, A13, Transactions!C:C, "SELL")</f>
        <v>0</v>
      </c>
      <c r="D13" s="25" cm="1">
        <f t="array" ref="D13">SUMPRODUCT(Transactions!E:E, Transactions!F:F, --(Transactions!D:D=A13), --(Transactions!C:C="BUY")) / SUMIFS(Transactions!E:E, Transactions!D:D, A13, Transactions!C:C, "BUY")</f>
        <v>12.113</v>
      </c>
      <c r="E13" s="25">
        <f t="shared" si="0"/>
        <v>0</v>
      </c>
      <c r="F13" s="26" t="str">
        <f>VLOOKUP(A13, Transactions!D:I, 6, FALSE)</f>
        <v>EUR</v>
      </c>
      <c r="G13" s="25">
        <f>IF(C13=0,
    ABS(SUMIFS(Transactions!H:H, Transactions!D:D, A13, Transactions!C:C, "SELL")) -
    ABS(SUMIFS(Transactions!H:H, Transactions!D:D, A13, Transactions!C:C, "BUY")),
    0)</f>
        <v>-954.27647892199957</v>
      </c>
    </row>
    <row r="14" spans="1:7" ht="15" customHeight="1" x14ac:dyDescent="0.25">
      <c r="A14" t="str">
        <v>SPYI</v>
      </c>
      <c r="B14" s="29" t="str">
        <f>INDEX(Transactions!B:B,MATCH(A14,Transactions!D:D,0))</f>
        <v>ETF</v>
      </c>
      <c r="C14" s="36">
        <f>SUMIFS(Transactions!J:J, Transactions!D:D, A14, Transactions!C:C, "BUY") + SUMIFS(Transactions!J:J, Transactions!D:D, A14, Transactions!C:C, "SELL")</f>
        <v>0.54360300000000006</v>
      </c>
      <c r="D14" s="33" cm="1">
        <f t="array" ref="D14">SUMPRODUCT(Transactions!E:E, Transactions!F:F, --(Transactions!D:D=A14), --(Transactions!C:C="BUY")) / SUMIFS(Transactions!E:E, Transactions!D:D, A14, Transactions!C:C, "BUY")</f>
        <v>207.87052608245352</v>
      </c>
      <c r="E14" s="33">
        <f t="shared" si="0"/>
        <v>112.99904158999999</v>
      </c>
      <c r="F14" s="30" t="str">
        <f>VLOOKUP(A14, Transactions!D:I, 6, FALSE)</f>
        <v>EUR</v>
      </c>
      <c r="G14" s="33">
        <f>IF(C14=0,
    ABS(SUMIFS(Transactions!H:H, Transactions!D:D, A14, Transactions!C:C, "SELL")) -
    ABS(SUMIFS(Transactions!H:H, Transactions!D:D, A14, Transactions!C:C, "BUY")),
    0)</f>
        <v>0</v>
      </c>
    </row>
    <row r="15" spans="1:7" ht="15" customHeight="1" x14ac:dyDescent="0.25">
      <c r="A15" t="str">
        <v>XAIX</v>
      </c>
      <c r="B15" s="29" t="str">
        <f>INDEX(Transactions!B:B,MATCH(A15,Transactions!D:D,0))</f>
        <v>ETF</v>
      </c>
      <c r="C15" s="36">
        <f>SUMIFS(Transactions!J:J, Transactions!D:D, A15, Transactions!C:C, "BUY") + SUMIFS(Transactions!J:J, Transactions!D:D, A15, Transactions!C:C, "SELL")</f>
        <v>0</v>
      </c>
      <c r="D15" s="33" cm="1">
        <f t="array" ref="D15">SUMPRODUCT(Transactions!E:E, Transactions!F:F, --(Transactions!D:D=A15), --(Transactions!C:C="BUY")) / SUMIFS(Transactions!E:E, Transactions!D:D, A15, Transactions!C:C, "BUY")</f>
        <v>114.92901170583386</v>
      </c>
      <c r="E15" s="33">
        <f t="shared" si="0"/>
        <v>0</v>
      </c>
      <c r="F15" s="30" t="str">
        <f>VLOOKUP(A15, Transactions!D:I, 6, FALSE)</f>
        <v>EUR</v>
      </c>
      <c r="G15" s="33">
        <f>IF(C15=0,
    ABS(SUMIFS(Transactions!H:H, Transactions!D:D, A15, Transactions!C:C, "SELL")) -
    ABS(SUMIFS(Transactions!H:H, Transactions!D:D, A15, Transactions!C:C, "BUY")),
    0)</f>
        <v>12.042970219999916</v>
      </c>
    </row>
    <row r="16" spans="1:7" ht="15" customHeight="1" x14ac:dyDescent="0.25">
      <c r="A16" t="str">
        <v>XDWT</v>
      </c>
      <c r="B16" s="29" t="str">
        <f>INDEX(Transactions!B:B,MATCH(A16,Transactions!D:D,0))</f>
        <v>ETF</v>
      </c>
      <c r="C16" s="36">
        <f>SUMIFS(Transactions!J:J, Transactions!D:D, A16, Transactions!C:C, "BUY") + SUMIFS(Transactions!J:J, Transactions!D:D, A16, Transactions!C:C, "SELL")</f>
        <v>1.4940460000000002</v>
      </c>
      <c r="D16" s="33" cm="1">
        <f t="array" ref="D16">SUMPRODUCT(Transactions!E:E, Transactions!F:F, --(Transactions!D:D=A16), --(Transactions!C:C="BUY")) / SUMIFS(Transactions!E:E, Transactions!D:D, A16, Transactions!C:C, "BUY")</f>
        <v>75.63323199553426</v>
      </c>
      <c r="E16" s="33">
        <f t="shared" si="0"/>
        <v>112.99952773</v>
      </c>
      <c r="F16" s="30" t="str">
        <f>VLOOKUP(A16, Transactions!D:I, 6, FALSE)</f>
        <v>EUR</v>
      </c>
      <c r="G16" s="33">
        <f>IF(C16=0,
    ABS(SUMIFS(Transactions!H:H, Transactions!D:D, A16, Transactions!C:C, "SELL")) -
    ABS(SUMIFS(Transactions!H:H, Transactions!D:D, A16, Transactions!C:C, "BUY")),
    0)</f>
        <v>0</v>
      </c>
    </row>
    <row r="17" spans="1:10" ht="15" customHeight="1" x14ac:dyDescent="0.25">
      <c r="A17" t="str">
        <v>XSR8</v>
      </c>
      <c r="B17" s="29" t="str">
        <f>INDEX(Transactions!B:B,MATCH(A17,Transactions!D:D,0))</f>
        <v>ETF</v>
      </c>
      <c r="C17" s="36">
        <f>SUMIFS(Transactions!J:J, Transactions!D:D, A17, Transactions!C:C, "BUY") + SUMIFS(Transactions!J:J, Transactions!D:D, A17, Transactions!C:C, "SELL")</f>
        <v>0</v>
      </c>
      <c r="D17" s="33" cm="1">
        <f t="array" ref="D17">SUMPRODUCT(Transactions!E:E, Transactions!F:F, --(Transactions!D:D=A17), --(Transactions!C:C="BUY")) / SUMIFS(Transactions!E:E, Transactions!D:D, A17, Transactions!C:C, "BUY")</f>
        <v>542.70000000000005</v>
      </c>
      <c r="E17" s="33">
        <f t="shared" si="0"/>
        <v>0</v>
      </c>
      <c r="F17" s="30" t="str">
        <f>VLOOKUP(A17, Transactions!D:I, 6, FALSE)</f>
        <v>EUR</v>
      </c>
      <c r="G17" s="33">
        <f>IF(C17=0,
    ABS(SUMIFS(Transactions!H:H, Transactions!D:D, A17, Transactions!C:C, "SELL")) -
    ABS(SUMIFS(Transactions!H:H, Transactions!D:D, A17, Transactions!C:C, "BUY")),
    0)</f>
        <v>84.34106015999987</v>
      </c>
      <c r="I17" s="29" t="s">
        <v>63</v>
      </c>
      <c r="J17" s="37">
        <f>SUM(E2:E17)</f>
        <v>1223.1183678400998</v>
      </c>
    </row>
    <row r="18" spans="1:10" x14ac:dyDescent="0.25">
      <c r="I18" s="29" t="s">
        <v>64</v>
      </c>
      <c r="J18" s="37">
        <f>SUM(G2:G17)</f>
        <v>326.84129719729958</v>
      </c>
    </row>
  </sheetData>
  <autoFilter ref="A1:G16" xr:uid="{4B199E37-A971-4037-9A93-E48C13562BB3}">
    <filterColumn colId="2">
      <filters blank="1">
        <filter val="0.0043"/>
        <filter val="126.2041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EB03A-2E92-47E3-B7BD-AE50B6D8130F}">
  <sheetPr codeName="Sheet7"/>
  <dimension ref="A1:R63"/>
  <sheetViews>
    <sheetView showGridLines="0" zoomScale="190" zoomScaleNormal="190" workbookViewId="0"/>
  </sheetViews>
  <sheetFormatPr defaultRowHeight="15" x14ac:dyDescent="0.25"/>
  <cols>
    <col min="1" max="1" width="11.42578125" style="32" customWidth="1"/>
    <col min="2" max="2" width="10.7109375" style="29" bestFit="1" customWidth="1"/>
    <col min="3" max="3" width="9.140625" style="29"/>
    <col min="4" max="4" width="11.85546875" style="33" bestFit="1" customWidth="1"/>
    <col min="9" max="9" width="12.28515625" bestFit="1" customWidth="1"/>
    <col min="10" max="10" width="8.7109375" bestFit="1" customWidth="1"/>
    <col min="11" max="11" width="10.5703125" bestFit="1" customWidth="1"/>
    <col min="12" max="12" width="7" bestFit="1" customWidth="1"/>
    <col min="13" max="13" width="10.42578125" bestFit="1" customWidth="1"/>
    <col min="14" max="14" width="6.85546875" bestFit="1" customWidth="1"/>
    <col min="15" max="15" width="11.140625" bestFit="1" customWidth="1"/>
    <col min="16" max="16" width="7.5703125" bestFit="1" customWidth="1"/>
    <col min="17" max="17" width="12" bestFit="1" customWidth="1"/>
    <col min="18" max="18" width="8.42578125" bestFit="1" customWidth="1"/>
  </cols>
  <sheetData>
    <row r="1" spans="1:18" x14ac:dyDescent="0.25">
      <c r="A1" s="32" t="s">
        <v>66</v>
      </c>
      <c r="B1" s="29" t="s">
        <v>52</v>
      </c>
      <c r="C1" s="29" t="s">
        <v>7</v>
      </c>
      <c r="D1" s="33" t="s">
        <v>60</v>
      </c>
      <c r="H1" s="28" t="s">
        <v>66</v>
      </c>
      <c r="I1" s="28" t="s">
        <v>75</v>
      </c>
      <c r="J1" s="28" t="s">
        <v>76</v>
      </c>
      <c r="K1" s="28" t="s">
        <v>77</v>
      </c>
      <c r="L1" s="28" t="s">
        <v>78</v>
      </c>
      <c r="M1" s="28" t="s">
        <v>79</v>
      </c>
      <c r="N1" s="28" t="s">
        <v>80</v>
      </c>
      <c r="O1" s="28" t="s">
        <v>81</v>
      </c>
      <c r="P1" s="28" t="s">
        <v>82</v>
      </c>
      <c r="Q1" s="28" t="s">
        <v>83</v>
      </c>
      <c r="R1" s="28" t="s">
        <v>84</v>
      </c>
    </row>
    <row r="2" spans="1:18" x14ac:dyDescent="0.25">
      <c r="A2" s="34" cm="1">
        <f t="array" ref="A2:D63">_xlfn.UNIQUE(
  _xlfn._xlws.FILTER(
    CHOOSE({1,2,3,4},
      Transactions!A:A,
      Transactions!B:B,
      Transactions!D:D,
      Transactions!K:K
    ),
    (Transactions!C:C="SELL") +
    (Transactions!C:C="DIVIDEND") +
    (Transactions!C:C="INTEREST")
  )
)</f>
        <v>45170</v>
      </c>
      <c r="B2" s="29" t="str">
        <v>DEPOSIT</v>
      </c>
      <c r="C2" s="35">
        <v>0</v>
      </c>
      <c r="D2" s="33">
        <v>1.59</v>
      </c>
      <c r="H2" s="29">
        <v>2023</v>
      </c>
      <c r="I2" s="49">
        <v>0</v>
      </c>
      <c r="J2" s="30">
        <v>0</v>
      </c>
      <c r="K2" s="49">
        <v>0</v>
      </c>
      <c r="L2" s="31">
        <v>0</v>
      </c>
      <c r="M2" s="49">
        <v>0</v>
      </c>
      <c r="N2" s="29">
        <v>0</v>
      </c>
      <c r="O2" s="50">
        <v>14.670000000000002</v>
      </c>
      <c r="P2" s="29">
        <v>4.84</v>
      </c>
      <c r="Q2" s="50">
        <v>14.670000000000002</v>
      </c>
      <c r="R2" s="29">
        <v>4.84</v>
      </c>
    </row>
    <row r="3" spans="1:18" x14ac:dyDescent="0.25">
      <c r="A3" s="32">
        <v>45200</v>
      </c>
      <c r="B3" s="29" t="str">
        <v>DEPOSIT</v>
      </c>
      <c r="C3" s="29">
        <v>0</v>
      </c>
      <c r="D3" s="33">
        <v>2.74</v>
      </c>
      <c r="H3" s="29">
        <v>2024</v>
      </c>
      <c r="I3" s="49">
        <v>1034.4599999999998</v>
      </c>
      <c r="J3" s="30">
        <v>0</v>
      </c>
      <c r="K3" s="49">
        <v>-798.57</v>
      </c>
      <c r="L3" s="31">
        <v>0</v>
      </c>
      <c r="M3" s="49">
        <v>12.48</v>
      </c>
      <c r="N3" s="29">
        <v>4.99</v>
      </c>
      <c r="O3" s="50">
        <v>496.09000000000003</v>
      </c>
      <c r="P3" s="29">
        <v>163.71</v>
      </c>
      <c r="Q3" s="50">
        <v>744.45999999999981</v>
      </c>
      <c r="R3" s="29">
        <v>168.70000000000002</v>
      </c>
    </row>
    <row r="4" spans="1:18" x14ac:dyDescent="0.25">
      <c r="A4" s="32">
        <v>45231</v>
      </c>
      <c r="B4" s="29" t="str">
        <v>DEPOSIT</v>
      </c>
      <c r="C4" s="29">
        <v>0</v>
      </c>
      <c r="D4" s="33">
        <v>2.98</v>
      </c>
      <c r="H4" s="29">
        <v>2025</v>
      </c>
      <c r="I4" s="49">
        <v>0</v>
      </c>
      <c r="J4" s="30">
        <v>0</v>
      </c>
      <c r="K4" s="49">
        <v>90.93</v>
      </c>
      <c r="L4" s="30">
        <v>37.28</v>
      </c>
      <c r="M4" s="49">
        <v>0</v>
      </c>
      <c r="N4" s="29">
        <v>0</v>
      </c>
      <c r="O4" s="50">
        <v>347.32999999999993</v>
      </c>
      <c r="P4" s="29">
        <v>114.62</v>
      </c>
      <c r="Q4" s="50">
        <v>438.25999999999993</v>
      </c>
      <c r="R4" s="29">
        <v>151.9</v>
      </c>
    </row>
    <row r="5" spans="1:18" x14ac:dyDescent="0.25">
      <c r="A5" s="32">
        <v>45261</v>
      </c>
      <c r="B5" s="29" t="str">
        <v>DEPOSIT</v>
      </c>
      <c r="C5" s="29">
        <v>0</v>
      </c>
      <c r="D5" s="33">
        <v>2.89</v>
      </c>
    </row>
    <row r="6" spans="1:18" x14ac:dyDescent="0.25">
      <c r="A6" s="32">
        <v>45261</v>
      </c>
      <c r="B6" s="29" t="str">
        <v>DEPOSIT</v>
      </c>
      <c r="C6" s="29">
        <v>0</v>
      </c>
      <c r="D6" s="33">
        <v>0.46</v>
      </c>
    </row>
    <row r="7" spans="1:18" x14ac:dyDescent="0.25">
      <c r="A7" s="32">
        <v>45289</v>
      </c>
      <c r="B7" s="29" t="str">
        <v>DEPOSIT</v>
      </c>
      <c r="C7" s="29">
        <v>0</v>
      </c>
      <c r="D7" s="33">
        <v>4.01</v>
      </c>
    </row>
    <row r="8" spans="1:18" x14ac:dyDescent="0.25">
      <c r="A8" s="32">
        <v>45292</v>
      </c>
      <c r="B8" s="29" t="str">
        <v>DEPOSIT</v>
      </c>
      <c r="C8" s="29">
        <v>0</v>
      </c>
      <c r="D8" s="33">
        <v>11.4</v>
      </c>
    </row>
    <row r="9" spans="1:18" x14ac:dyDescent="0.25">
      <c r="A9" s="32">
        <v>45323</v>
      </c>
      <c r="B9" s="29" t="str">
        <v>DEPOSIT</v>
      </c>
      <c r="C9" s="29">
        <v>0</v>
      </c>
      <c r="D9" s="33">
        <v>13.52</v>
      </c>
    </row>
    <row r="10" spans="1:18" x14ac:dyDescent="0.25">
      <c r="A10" s="32">
        <v>45323</v>
      </c>
      <c r="B10" s="29" t="str">
        <v>DEPOSIT</v>
      </c>
      <c r="C10" s="29">
        <v>0</v>
      </c>
      <c r="D10" s="33">
        <v>0.21</v>
      </c>
    </row>
    <row r="11" spans="1:18" x14ac:dyDescent="0.25">
      <c r="A11" s="32">
        <v>45352</v>
      </c>
      <c r="B11" s="29" t="str">
        <v>DEPOSIT</v>
      </c>
      <c r="C11" s="29">
        <v>0</v>
      </c>
      <c r="D11" s="33">
        <v>12.68</v>
      </c>
    </row>
    <row r="12" spans="1:18" x14ac:dyDescent="0.25">
      <c r="A12" s="32">
        <v>45352</v>
      </c>
      <c r="B12" s="29" t="str">
        <v>DEPOSIT</v>
      </c>
      <c r="C12" s="29">
        <v>0</v>
      </c>
      <c r="D12" s="33">
        <v>0.17</v>
      </c>
    </row>
    <row r="13" spans="1:18" x14ac:dyDescent="0.25">
      <c r="A13" s="32">
        <v>45377</v>
      </c>
      <c r="B13" s="29" t="str">
        <v>ETF</v>
      </c>
      <c r="C13" s="29" t="str">
        <v>QQQS</v>
      </c>
      <c r="D13" s="33">
        <v>-954.28</v>
      </c>
    </row>
    <row r="14" spans="1:18" x14ac:dyDescent="0.25">
      <c r="A14" s="32">
        <v>45383</v>
      </c>
      <c r="B14" s="29" t="str">
        <v>DEPOSIT</v>
      </c>
      <c r="C14" s="29">
        <v>0</v>
      </c>
      <c r="D14" s="33">
        <v>13.59</v>
      </c>
    </row>
    <row r="15" spans="1:18" x14ac:dyDescent="0.25">
      <c r="A15" s="32">
        <v>45383</v>
      </c>
      <c r="B15" s="29" t="str">
        <v>DEPOSIT</v>
      </c>
      <c r="C15" s="29">
        <v>0</v>
      </c>
      <c r="D15" s="33">
        <v>0.18</v>
      </c>
    </row>
    <row r="16" spans="1:18" x14ac:dyDescent="0.25">
      <c r="A16" s="32">
        <v>45413</v>
      </c>
      <c r="B16" s="29" t="str">
        <v>DEPOSIT</v>
      </c>
      <c r="C16" s="29">
        <v>0</v>
      </c>
      <c r="D16" s="33">
        <v>4.1500000000000004</v>
      </c>
    </row>
    <row r="17" spans="1:4" x14ac:dyDescent="0.25">
      <c r="A17" s="32">
        <v>45413</v>
      </c>
      <c r="B17" s="29" t="str">
        <v>DEPOSIT</v>
      </c>
      <c r="C17" s="29">
        <v>0</v>
      </c>
      <c r="D17" s="33">
        <v>8.8000000000000007</v>
      </c>
    </row>
    <row r="18" spans="1:4" x14ac:dyDescent="0.25">
      <c r="A18" s="32">
        <v>45429</v>
      </c>
      <c r="B18" s="29" t="str">
        <v>DIVIDEND</v>
      </c>
      <c r="C18" s="29">
        <v>0</v>
      </c>
      <c r="D18" s="33">
        <v>6.27</v>
      </c>
    </row>
    <row r="19" spans="1:4" x14ac:dyDescent="0.25">
      <c r="A19" s="32">
        <v>45433</v>
      </c>
      <c r="B19" s="29" t="str">
        <v>STOCK</v>
      </c>
      <c r="C19" s="29" t="str">
        <v>AHLA</v>
      </c>
      <c r="D19" s="33">
        <v>175.79</v>
      </c>
    </row>
    <row r="20" spans="1:4" x14ac:dyDescent="0.25">
      <c r="A20" s="32">
        <v>45435</v>
      </c>
      <c r="B20" s="29" t="str">
        <v>ETF</v>
      </c>
      <c r="C20" s="29" t="str">
        <v>QQQ3</v>
      </c>
      <c r="D20" s="33">
        <v>143.66999999999999</v>
      </c>
    </row>
    <row r="21" spans="1:4" x14ac:dyDescent="0.25">
      <c r="A21" s="32">
        <v>45435</v>
      </c>
      <c r="B21" s="29" t="str">
        <v>STOCK</v>
      </c>
      <c r="C21" s="29" t="str">
        <v>AHLA</v>
      </c>
      <c r="D21" s="33">
        <v>89.83</v>
      </c>
    </row>
    <row r="22" spans="1:4" x14ac:dyDescent="0.25">
      <c r="A22" s="32">
        <v>45435</v>
      </c>
      <c r="B22" s="29" t="str">
        <v>STOCK</v>
      </c>
      <c r="C22" s="29" t="str">
        <v>AMD</v>
      </c>
      <c r="D22" s="33">
        <v>98.41</v>
      </c>
    </row>
    <row r="23" spans="1:4" x14ac:dyDescent="0.25">
      <c r="A23" s="32">
        <v>45435</v>
      </c>
      <c r="B23" s="29" t="str">
        <v>STOCK</v>
      </c>
      <c r="C23" s="29" t="str">
        <v>INL</v>
      </c>
      <c r="D23" s="33">
        <v>-8.6199999999999992</v>
      </c>
    </row>
    <row r="24" spans="1:4" x14ac:dyDescent="0.25">
      <c r="A24" s="32">
        <v>45435</v>
      </c>
      <c r="B24" s="29" t="str">
        <v>STOCK</v>
      </c>
      <c r="C24" s="29" t="str">
        <v>99U</v>
      </c>
      <c r="D24" s="33">
        <v>-2</v>
      </c>
    </row>
    <row r="25" spans="1:4" x14ac:dyDescent="0.25">
      <c r="A25" s="32">
        <v>45435</v>
      </c>
      <c r="B25" s="29" t="str">
        <v>STOCK</v>
      </c>
      <c r="C25" s="29" t="str">
        <v>FB2A</v>
      </c>
      <c r="D25" s="33">
        <v>5.19</v>
      </c>
    </row>
    <row r="26" spans="1:4" x14ac:dyDescent="0.25">
      <c r="A26" s="32">
        <v>45435</v>
      </c>
      <c r="B26" s="29" t="str">
        <v>ETF</v>
      </c>
      <c r="C26" s="29" t="str">
        <v>XAIX</v>
      </c>
      <c r="D26" s="33">
        <v>8.61</v>
      </c>
    </row>
    <row r="27" spans="1:4" x14ac:dyDescent="0.25">
      <c r="A27" s="32">
        <v>45435</v>
      </c>
      <c r="B27" s="29" t="str">
        <v>STOCK</v>
      </c>
      <c r="C27" s="29" t="str">
        <v>AAPL</v>
      </c>
      <c r="D27" s="33">
        <v>628.51</v>
      </c>
    </row>
    <row r="28" spans="1:4" x14ac:dyDescent="0.25">
      <c r="A28" s="32">
        <v>45444</v>
      </c>
      <c r="B28" s="29" t="str">
        <v>DEPOSIT</v>
      </c>
      <c r="C28" s="29">
        <v>0</v>
      </c>
      <c r="D28" s="33">
        <v>0.91</v>
      </c>
    </row>
    <row r="29" spans="1:4" x14ac:dyDescent="0.25">
      <c r="A29" s="32">
        <v>45444</v>
      </c>
      <c r="B29" s="29" t="str">
        <v>DEPOSIT</v>
      </c>
      <c r="C29" s="29">
        <v>0</v>
      </c>
      <c r="D29" s="33">
        <v>6.26</v>
      </c>
    </row>
    <row r="30" spans="1:4" x14ac:dyDescent="0.25">
      <c r="A30" s="32">
        <v>45444</v>
      </c>
      <c r="B30" s="29" t="str">
        <v>DEPOSIT</v>
      </c>
      <c r="C30" s="29">
        <v>0</v>
      </c>
      <c r="D30" s="33">
        <v>28.67</v>
      </c>
    </row>
    <row r="31" spans="1:4" x14ac:dyDescent="0.25">
      <c r="A31" s="32">
        <v>45457</v>
      </c>
      <c r="B31" s="29" t="str">
        <v>ETF</v>
      </c>
      <c r="C31" s="29" t="str">
        <v>XAIX</v>
      </c>
      <c r="D31" s="33">
        <v>3.43</v>
      </c>
    </row>
    <row r="32" spans="1:4" x14ac:dyDescent="0.25">
      <c r="A32" s="32">
        <v>45457</v>
      </c>
      <c r="B32" s="29" t="str">
        <v>STOCK</v>
      </c>
      <c r="C32" s="29" t="str">
        <v>J7Z</v>
      </c>
      <c r="D32" s="33">
        <v>47.35</v>
      </c>
    </row>
    <row r="33" spans="1:4" x14ac:dyDescent="0.25">
      <c r="A33" s="32">
        <v>45474</v>
      </c>
      <c r="B33" s="29" t="str">
        <v>DEPOSIT</v>
      </c>
      <c r="C33" s="29">
        <v>0</v>
      </c>
      <c r="D33" s="33">
        <v>0.15</v>
      </c>
    </row>
    <row r="34" spans="1:4" x14ac:dyDescent="0.25">
      <c r="A34" s="32">
        <v>45474</v>
      </c>
      <c r="B34" s="29" t="str">
        <v>DEPOSIT</v>
      </c>
      <c r="C34" s="29">
        <v>0</v>
      </c>
      <c r="D34" s="33">
        <v>20.86</v>
      </c>
    </row>
    <row r="35" spans="1:4" x14ac:dyDescent="0.25">
      <c r="A35" s="32">
        <v>45474</v>
      </c>
      <c r="B35" s="29" t="str">
        <v>DEPOSIT</v>
      </c>
      <c r="C35" s="29">
        <v>0</v>
      </c>
      <c r="D35" s="33">
        <v>39.26</v>
      </c>
    </row>
    <row r="36" spans="1:4" x14ac:dyDescent="0.25">
      <c r="A36" s="32">
        <v>45505</v>
      </c>
      <c r="B36" s="29" t="str">
        <v>DEPOSIT</v>
      </c>
      <c r="C36" s="29">
        <v>0</v>
      </c>
      <c r="D36" s="33">
        <v>21.64</v>
      </c>
    </row>
    <row r="37" spans="1:4" x14ac:dyDescent="0.25">
      <c r="A37" s="32">
        <v>45505</v>
      </c>
      <c r="B37" s="29" t="str">
        <v>DEPOSIT</v>
      </c>
      <c r="C37" s="29">
        <v>0</v>
      </c>
      <c r="D37" s="33">
        <v>42.12</v>
      </c>
    </row>
    <row r="38" spans="1:4" x14ac:dyDescent="0.25">
      <c r="A38" s="32">
        <v>45536</v>
      </c>
      <c r="B38" s="29" t="str">
        <v>DEPOSIT</v>
      </c>
      <c r="C38" s="29">
        <v>0</v>
      </c>
      <c r="D38" s="33">
        <v>21.72</v>
      </c>
    </row>
    <row r="39" spans="1:4" x14ac:dyDescent="0.25">
      <c r="A39" s="32">
        <v>45536</v>
      </c>
      <c r="B39" s="29" t="str">
        <v>DEPOSIT</v>
      </c>
      <c r="C39" s="29">
        <v>0</v>
      </c>
      <c r="D39" s="33">
        <v>43.68</v>
      </c>
    </row>
    <row r="40" spans="1:4" x14ac:dyDescent="0.25">
      <c r="A40" s="32">
        <v>45566</v>
      </c>
      <c r="B40" s="29" t="str">
        <v>DEPOSIT</v>
      </c>
      <c r="C40" s="29">
        <v>0</v>
      </c>
      <c r="D40" s="33">
        <v>20.16</v>
      </c>
    </row>
    <row r="41" spans="1:4" x14ac:dyDescent="0.25">
      <c r="A41" s="32">
        <v>45566</v>
      </c>
      <c r="B41" s="29" t="str">
        <v>DEPOSIT</v>
      </c>
      <c r="C41" s="29">
        <v>0</v>
      </c>
      <c r="D41" s="33">
        <v>48.1</v>
      </c>
    </row>
    <row r="42" spans="1:4" x14ac:dyDescent="0.25">
      <c r="A42" s="32">
        <v>45597</v>
      </c>
      <c r="B42" s="29" t="str">
        <v>DEPOSIT</v>
      </c>
      <c r="C42" s="29">
        <v>0</v>
      </c>
      <c r="D42" s="33">
        <v>19.45</v>
      </c>
    </row>
    <row r="43" spans="1:4" x14ac:dyDescent="0.25">
      <c r="A43" s="32">
        <v>45597</v>
      </c>
      <c r="B43" s="29" t="str">
        <v>DEPOSIT</v>
      </c>
      <c r="C43" s="29">
        <v>0</v>
      </c>
      <c r="D43" s="33">
        <v>50.05</v>
      </c>
    </row>
    <row r="44" spans="1:4" x14ac:dyDescent="0.25">
      <c r="A44" s="32">
        <v>45623</v>
      </c>
      <c r="B44" s="29" t="str">
        <v>DIVIDEND</v>
      </c>
      <c r="C44" s="29" t="str">
        <v>QDVY</v>
      </c>
      <c r="D44" s="33">
        <v>5.83</v>
      </c>
    </row>
    <row r="45" spans="1:4" x14ac:dyDescent="0.25">
      <c r="A45" s="32">
        <v>45627</v>
      </c>
      <c r="B45" s="29" t="str">
        <v>DEPOSIT</v>
      </c>
      <c r="C45" s="29">
        <v>0</v>
      </c>
      <c r="D45" s="33">
        <v>17.98</v>
      </c>
    </row>
    <row r="46" spans="1:4" x14ac:dyDescent="0.25">
      <c r="A46" s="32">
        <v>45627</v>
      </c>
      <c r="B46" s="29" t="str">
        <v>DEPOSIT</v>
      </c>
      <c r="C46" s="29">
        <v>0</v>
      </c>
      <c r="D46" s="33">
        <v>50.38</v>
      </c>
    </row>
    <row r="47" spans="1:4" x14ac:dyDescent="0.25">
      <c r="A47" s="32">
        <v>45653</v>
      </c>
      <c r="B47" s="29" t="str">
        <v>DIVIDEND</v>
      </c>
      <c r="C47" s="29" t="str">
        <v>IQQA</v>
      </c>
      <c r="D47" s="33">
        <v>0.38</v>
      </c>
    </row>
    <row r="48" spans="1:4" x14ac:dyDescent="0.25">
      <c r="A48" s="32">
        <v>45658</v>
      </c>
      <c r="B48" s="29" t="str">
        <v>DEPOSIT</v>
      </c>
      <c r="C48" s="29">
        <v>0</v>
      </c>
      <c r="D48" s="33">
        <v>17.84</v>
      </c>
    </row>
    <row r="49" spans="1:4" x14ac:dyDescent="0.25">
      <c r="A49" s="32">
        <v>45658</v>
      </c>
      <c r="B49" s="29" t="str">
        <v>DEPOSIT</v>
      </c>
      <c r="C49" s="29">
        <v>0</v>
      </c>
      <c r="D49" s="33">
        <v>48.76</v>
      </c>
    </row>
    <row r="50" spans="1:4" x14ac:dyDescent="0.25">
      <c r="A50" s="32">
        <v>45673</v>
      </c>
      <c r="B50" s="29" t="str">
        <v>ETF</v>
      </c>
      <c r="C50" s="29" t="str">
        <v>QDVY</v>
      </c>
      <c r="D50" s="33">
        <v>7.26</v>
      </c>
    </row>
    <row r="51" spans="1:4" x14ac:dyDescent="0.25">
      <c r="A51" s="32">
        <v>45673</v>
      </c>
      <c r="B51" s="29" t="str">
        <v>ETF</v>
      </c>
      <c r="C51" s="29" t="str">
        <v>IQQA</v>
      </c>
      <c r="D51" s="33">
        <v>-0.67</v>
      </c>
    </row>
    <row r="52" spans="1:4" x14ac:dyDescent="0.25">
      <c r="A52" s="32">
        <v>45689</v>
      </c>
      <c r="B52" s="29" t="str">
        <v>DEPOSIT</v>
      </c>
      <c r="C52" s="29">
        <v>0</v>
      </c>
      <c r="D52" s="33">
        <v>43.38</v>
      </c>
    </row>
    <row r="53" spans="1:4" x14ac:dyDescent="0.25">
      <c r="A53" s="32">
        <v>45689</v>
      </c>
      <c r="B53" s="29" t="str">
        <v>DEPOSIT</v>
      </c>
      <c r="C53" s="29">
        <v>0</v>
      </c>
      <c r="D53" s="33">
        <v>17.18</v>
      </c>
    </row>
    <row r="54" spans="1:4" x14ac:dyDescent="0.25">
      <c r="A54" s="32">
        <v>45717</v>
      </c>
      <c r="B54" s="29" t="str">
        <v>DEPOSIT</v>
      </c>
      <c r="C54" s="29">
        <v>0</v>
      </c>
      <c r="D54" s="33">
        <v>38.799999999999997</v>
      </c>
    </row>
    <row r="55" spans="1:4" x14ac:dyDescent="0.25">
      <c r="A55" s="32">
        <v>45717</v>
      </c>
      <c r="B55" s="29" t="str">
        <v>DEPOSIT</v>
      </c>
      <c r="C55" s="29">
        <v>0</v>
      </c>
      <c r="D55" s="33">
        <v>15.57</v>
      </c>
    </row>
    <row r="56" spans="1:4" x14ac:dyDescent="0.25">
      <c r="A56" s="32">
        <v>45748</v>
      </c>
      <c r="B56" s="29" t="str">
        <v>DEPOSIT</v>
      </c>
      <c r="C56" s="29">
        <v>0</v>
      </c>
      <c r="D56" s="33">
        <v>39.11</v>
      </c>
    </row>
    <row r="57" spans="1:4" x14ac:dyDescent="0.25">
      <c r="A57" s="32">
        <v>45748</v>
      </c>
      <c r="B57" s="29" t="str">
        <v>DEPOSIT</v>
      </c>
      <c r="C57" s="29">
        <v>0</v>
      </c>
      <c r="D57" s="33">
        <v>17.28</v>
      </c>
    </row>
    <row r="58" spans="1:4" x14ac:dyDescent="0.25">
      <c r="A58" s="32">
        <v>45778</v>
      </c>
      <c r="B58" s="29" t="str">
        <v>DEPOSIT</v>
      </c>
      <c r="C58" s="29">
        <v>0</v>
      </c>
      <c r="D58" s="33">
        <v>36.200000000000003</v>
      </c>
    </row>
    <row r="59" spans="1:4" x14ac:dyDescent="0.25">
      <c r="A59" s="32">
        <v>45778</v>
      </c>
      <c r="B59" s="29" t="str">
        <v>DEPOSIT</v>
      </c>
      <c r="C59" s="29">
        <v>0</v>
      </c>
      <c r="D59" s="33">
        <v>16.77</v>
      </c>
    </row>
    <row r="60" spans="1:4" x14ac:dyDescent="0.25">
      <c r="A60" s="32">
        <v>45791</v>
      </c>
      <c r="B60" s="29" t="str">
        <v>ETF</v>
      </c>
      <c r="C60" s="29" t="str">
        <v>XSR8</v>
      </c>
      <c r="D60" s="33">
        <v>37.659999999999997</v>
      </c>
    </row>
    <row r="61" spans="1:4" x14ac:dyDescent="0.25">
      <c r="A61" s="32">
        <v>45793</v>
      </c>
      <c r="B61" s="29" t="str">
        <v>ETF</v>
      </c>
      <c r="C61" s="29" t="str">
        <v>XSR8</v>
      </c>
      <c r="D61" s="33">
        <v>46.68</v>
      </c>
    </row>
    <row r="62" spans="1:4" x14ac:dyDescent="0.25">
      <c r="A62" s="32">
        <v>45809</v>
      </c>
      <c r="B62" s="29" t="str">
        <v>DEPOSIT</v>
      </c>
      <c r="C62" s="29">
        <v>0</v>
      </c>
      <c r="D62" s="33">
        <v>39.06</v>
      </c>
    </row>
    <row r="63" spans="1:4" x14ac:dyDescent="0.25">
      <c r="A63" s="32">
        <v>45809</v>
      </c>
      <c r="B63" s="29" t="str">
        <v>DEPOSIT</v>
      </c>
      <c r="C63" s="29">
        <v>0</v>
      </c>
      <c r="D63" s="33">
        <v>17.38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ummarizeTaxByYearAndCategory">
                <anchor>
                  <from>
                    <xdr:col>4</xdr:col>
                    <xdr:colOff>542925</xdr:colOff>
                    <xdr:row>0</xdr:row>
                    <xdr:rowOff>28575</xdr:rowOff>
                  </from>
                  <to>
                    <xdr:col>6</xdr:col>
                    <xdr:colOff>581025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7B79C3-B0A9-49F9-9277-E8DD0C96CE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Transactions</vt:lpstr>
      <vt:lpstr>Portfolio </vt:lpstr>
      <vt:lpstr>Tax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Dmytro Kalinovskyi</dc:creator>
  <cp:lastModifiedBy>Dmytro Kalinovskyi</cp:lastModifiedBy>
  <dcterms:created xsi:type="dcterms:W3CDTF">2015-06-05T18:17:20Z</dcterms:created>
  <dcterms:modified xsi:type="dcterms:W3CDTF">2025-12-30T20:08:16Z</dcterms:modified>
</cp:coreProperties>
</file>